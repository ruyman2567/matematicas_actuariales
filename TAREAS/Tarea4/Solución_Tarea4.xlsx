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11_AF1F9E00468A5969A382CE23A3C72DA4191A4A3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)" sheetId="1" r:id="rId1"/>
    <sheet name="4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Untn0UlLSmAKE1tWxcEliKf9307fOuBjra71J+Cc90="/>
    </ext>
  </extLst>
</workbook>
</file>

<file path=xl/calcChain.xml><?xml version="1.0" encoding="utf-8"?>
<calcChain xmlns="http://schemas.openxmlformats.org/spreadsheetml/2006/main">
  <c r="E3" i="2" l="1"/>
  <c r="K9" i="2"/>
  <c r="F3" i="2"/>
  <c r="E8" i="2"/>
  <c r="F9" i="2"/>
  <c r="E9" i="2"/>
  <c r="F10" i="2"/>
  <c r="G9" i="2"/>
  <c r="H9" i="2"/>
  <c r="M9" i="2"/>
  <c r="K10" i="2"/>
  <c r="E10" i="2"/>
  <c r="F11" i="2"/>
  <c r="G10" i="2"/>
  <c r="H10" i="2"/>
  <c r="M10" i="2"/>
  <c r="K11" i="2"/>
  <c r="E11" i="2"/>
  <c r="F12" i="2"/>
  <c r="G11" i="2"/>
  <c r="H11" i="2"/>
  <c r="M11" i="2"/>
  <c r="K12" i="2"/>
  <c r="G12" i="2"/>
  <c r="H12" i="2"/>
  <c r="M12" i="2"/>
  <c r="O9" i="2"/>
  <c r="E22" i="2"/>
  <c r="O10" i="2"/>
  <c r="O11" i="2"/>
  <c r="O12" i="2"/>
  <c r="E23" i="2"/>
  <c r="E25" i="2"/>
  <c r="G8" i="2"/>
  <c r="H8" i="2"/>
  <c r="I8" i="2"/>
  <c r="J8" i="2"/>
  <c r="L8" i="2"/>
  <c r="I9" i="2"/>
  <c r="J9" i="2"/>
  <c r="L9" i="2"/>
  <c r="I10" i="2"/>
  <c r="J10" i="2"/>
  <c r="L10" i="2"/>
  <c r="I11" i="2"/>
  <c r="J11" i="2"/>
  <c r="L11" i="2"/>
  <c r="I12" i="2"/>
  <c r="J12" i="2"/>
  <c r="L12" i="2"/>
  <c r="N8" i="2"/>
  <c r="C22" i="2"/>
  <c r="N9" i="2"/>
  <c r="N10" i="2"/>
  <c r="N11" i="2"/>
  <c r="N12" i="2"/>
  <c r="C23" i="2"/>
  <c r="C24" i="2"/>
  <c r="C25" i="2"/>
  <c r="K8" i="2"/>
  <c r="M8" i="2"/>
  <c r="E20" i="2"/>
  <c r="C20" i="2"/>
  <c r="O8" i="2"/>
  <c r="E19" i="2"/>
  <c r="C19" i="2"/>
  <c r="E18" i="2"/>
  <c r="C18" i="2"/>
  <c r="E17" i="2"/>
  <c r="C17" i="2"/>
  <c r="E16" i="2"/>
  <c r="C16" i="2"/>
  <c r="E12" i="2"/>
  <c r="E3" i="1"/>
  <c r="E4" i="1"/>
  <c r="E5" i="1"/>
  <c r="C9" i="1"/>
  <c r="C16" i="1"/>
  <c r="E6" i="1"/>
  <c r="C13" i="1"/>
  <c r="C15" i="1"/>
  <c r="C14" i="1"/>
  <c r="E7" i="1"/>
  <c r="C12" i="1"/>
  <c r="C11" i="1"/>
  <c r="C10" i="1"/>
  <c r="C4" i="1"/>
  <c r="C5" i="1"/>
  <c r="C6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ID#AAABzqd5K1s
Rodrigo De Jesús    (2026-02-26 13:23:50)
Recuerden n|qxy = d_{x+n:y+n}/l_{xy}</t>
        </r>
      </text>
    </comment>
    <comment ref="B16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ID#AAABzqd5K1w
Rodrigo De Jesús    (2026-02-26 13:23:50)
2p95:96 - \infty p65:96 
donde  \infty p65:96 = 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SvHUu0WBFzD9ljtFWE5uyNtQcA=="/>
    </ext>
  </extLst>
</comments>
</file>

<file path=xl/sharedStrings.xml><?xml version="1.0" encoding="utf-8"?>
<sst xmlns="http://schemas.openxmlformats.org/spreadsheetml/2006/main" count="53" uniqueCount="49">
  <si>
    <t>k</t>
  </si>
  <si>
    <t>x</t>
  </si>
  <si>
    <r>
      <rPr>
        <b/>
        <sz val="11"/>
        <color theme="1"/>
        <rFont val="Aptos Narrow"/>
      </rPr>
      <t>q</t>
    </r>
    <r>
      <rPr>
        <b/>
        <vertAlign val="subscript"/>
        <sz val="11"/>
        <color theme="1"/>
        <rFont val="Aptos Narrow"/>
      </rPr>
      <t>x</t>
    </r>
  </si>
  <si>
    <r>
      <rPr>
        <b/>
        <sz val="11"/>
        <color theme="1"/>
        <rFont val="Aptos Narrow"/>
      </rPr>
      <t>p</t>
    </r>
    <r>
      <rPr>
        <b/>
        <vertAlign val="subscript"/>
        <sz val="11"/>
        <color theme="1"/>
        <rFont val="Aptos Narrow"/>
      </rPr>
      <t>x</t>
    </r>
  </si>
  <si>
    <r>
      <rPr>
        <vertAlign val="subscript"/>
        <sz val="11"/>
        <color theme="1"/>
        <rFont val="Aptos Narrow"/>
      </rPr>
      <t>2</t>
    </r>
    <r>
      <rPr>
        <sz val="11"/>
        <color theme="1"/>
        <rFont val="Aptos Narrow"/>
      </rPr>
      <t>p</t>
    </r>
    <r>
      <rPr>
        <vertAlign val="subscript"/>
        <sz val="11"/>
        <color theme="1"/>
        <rFont val="Aptos Narrow"/>
      </rPr>
      <t>95:96</t>
    </r>
  </si>
  <si>
    <r>
      <rPr>
        <sz val="11"/>
        <color theme="1"/>
        <rFont val="Aptos Narrow"/>
      </rPr>
      <t>p</t>
    </r>
    <r>
      <rPr>
        <vertAlign val="subscript"/>
        <sz val="11"/>
        <color theme="1"/>
        <rFont val="Aptos Narrow"/>
      </rPr>
      <t>96:97</t>
    </r>
  </si>
  <si>
    <r>
      <rPr>
        <sz val="11"/>
        <color theme="1"/>
        <rFont val="Aptos Narrow"/>
      </rPr>
      <t>q</t>
    </r>
    <r>
      <rPr>
        <vertAlign val="subscript"/>
        <sz val="11"/>
        <color theme="1"/>
        <rFont val="Aptos Narrow"/>
      </rPr>
      <t>97:98</t>
    </r>
  </si>
  <si>
    <r>
      <rPr>
        <vertAlign val="subscript"/>
        <sz val="11"/>
        <color theme="1"/>
        <rFont val="Aptos Narrow"/>
      </rPr>
      <t>2</t>
    </r>
    <r>
      <rPr>
        <sz val="11"/>
        <color theme="1"/>
        <rFont val="Aptos Narrow"/>
      </rPr>
      <t>q</t>
    </r>
    <r>
      <rPr>
        <vertAlign val="subscript"/>
        <sz val="11"/>
        <color theme="1"/>
        <rFont val="Aptos Narrow"/>
      </rPr>
      <t>97:98</t>
    </r>
  </si>
  <si>
    <r>
      <rPr>
        <vertAlign val="subscript"/>
        <sz val="11"/>
        <color theme="1"/>
        <rFont val="Aptos Narrow"/>
      </rPr>
      <t>1</t>
    </r>
    <r>
      <rPr>
        <sz val="11"/>
        <color theme="1"/>
        <rFont val="Aptos Narrow"/>
      </rPr>
      <t>|q</t>
    </r>
    <r>
      <rPr>
        <vertAlign val="subscript"/>
        <sz val="11"/>
        <color theme="1"/>
        <rFont val="Aptos Narrow"/>
      </rPr>
      <t>96:97</t>
    </r>
  </si>
  <si>
    <r>
      <rPr>
        <vertAlign val="subscript"/>
        <sz val="11"/>
        <color theme="1"/>
        <rFont val="Aptos Narrow"/>
      </rPr>
      <t>2</t>
    </r>
    <r>
      <rPr>
        <sz val="11"/>
        <color theme="1"/>
        <rFont val="Aptos Narrow"/>
      </rPr>
      <t>|q</t>
    </r>
    <r>
      <rPr>
        <vertAlign val="subscript"/>
        <sz val="11"/>
        <color theme="1"/>
        <rFont val="Aptos Narrow"/>
      </rPr>
      <t>95:96</t>
    </r>
  </si>
  <si>
    <r>
      <rPr>
        <sz val="11"/>
        <color theme="1"/>
        <rFont val="Aptos Narrow"/>
      </rPr>
      <t>d</t>
    </r>
    <r>
      <rPr>
        <vertAlign val="subscript"/>
        <sz val="11"/>
        <color theme="1"/>
        <rFont val="Aptos Narrow"/>
      </rPr>
      <t>97:98</t>
    </r>
    <r>
      <rPr>
        <sz val="11"/>
        <color theme="1"/>
        <rFont val="Aptos Narrow"/>
      </rPr>
      <t xml:space="preserve"> /l</t>
    </r>
    <r>
      <rPr>
        <vertAlign val="subscript"/>
        <sz val="11"/>
        <color theme="1"/>
        <rFont val="Aptos Narrow"/>
      </rPr>
      <t>96:97</t>
    </r>
  </si>
  <si>
    <r>
      <rPr>
        <vertAlign val="subscript"/>
        <sz val="11"/>
        <color theme="1"/>
        <rFont val="Aptos Narrow"/>
      </rPr>
      <t>2</t>
    </r>
    <r>
      <rPr>
        <sz val="11"/>
        <color theme="1"/>
        <rFont val="Aptos Narrow"/>
      </rPr>
      <t>|</t>
    </r>
    <r>
      <rPr>
        <vertAlign val="subscript"/>
        <sz val="11"/>
        <color theme="1"/>
        <rFont val="Aptos Narrow"/>
      </rPr>
      <t>∞</t>
    </r>
    <r>
      <rPr>
        <sz val="11"/>
        <color theme="1"/>
        <rFont val="Aptos Narrow"/>
      </rPr>
      <t xml:space="preserve"> q</t>
    </r>
    <r>
      <rPr>
        <vertAlign val="subscript"/>
        <sz val="11"/>
        <color theme="1"/>
        <rFont val="Aptos Narrow"/>
      </rPr>
      <t>95:96</t>
    </r>
  </si>
  <si>
    <t>r</t>
  </si>
  <si>
    <t>y</t>
  </si>
  <si>
    <t>V</t>
  </si>
  <si>
    <t>h</t>
  </si>
  <si>
    <t>Por conmutados</t>
  </si>
  <si>
    <r>
      <rPr>
        <b/>
        <sz val="11"/>
        <color theme="1"/>
        <rFont val="Aptos Narrow"/>
      </rPr>
      <t>l</t>
    </r>
    <r>
      <rPr>
        <vertAlign val="subscript"/>
        <sz val="11"/>
        <color theme="1"/>
        <rFont val="Aptos Narrow"/>
      </rPr>
      <t>x</t>
    </r>
  </si>
  <si>
    <r>
      <rPr>
        <b/>
        <sz val="11"/>
        <color theme="1"/>
        <rFont val="Aptos Narrow"/>
      </rPr>
      <t>l</t>
    </r>
    <r>
      <rPr>
        <vertAlign val="subscript"/>
        <sz val="11"/>
        <color theme="1"/>
        <rFont val="Aptos Narrow"/>
      </rPr>
      <t>y</t>
    </r>
  </si>
  <si>
    <r>
      <rPr>
        <b/>
        <sz val="11"/>
        <color theme="1"/>
        <rFont val="Aptos Narrow"/>
      </rPr>
      <t>l</t>
    </r>
    <r>
      <rPr>
        <vertAlign val="subscript"/>
        <sz val="11"/>
        <color theme="1"/>
        <rFont val="Aptos Narrow"/>
      </rPr>
      <t>xy</t>
    </r>
  </si>
  <si>
    <r>
      <rPr>
        <b/>
        <sz val="11"/>
        <color theme="1"/>
        <rFont val="Aptos Narrow"/>
      </rPr>
      <t>d</t>
    </r>
    <r>
      <rPr>
        <vertAlign val="subscript"/>
        <sz val="11"/>
        <color theme="1"/>
        <rFont val="Aptos Narrow"/>
      </rPr>
      <t>xy</t>
    </r>
  </si>
  <si>
    <r>
      <rPr>
        <b/>
        <sz val="11"/>
        <color theme="1"/>
        <rFont val="Aptos Narrow"/>
      </rPr>
      <t xml:space="preserve">V </t>
    </r>
    <r>
      <rPr>
        <vertAlign val="superscript"/>
        <sz val="11"/>
        <color theme="1"/>
        <rFont val="Aptos Narrow"/>
      </rPr>
      <t>x+y/2 +1</t>
    </r>
  </si>
  <si>
    <r>
      <rPr>
        <b/>
        <sz val="11"/>
        <color theme="1"/>
        <rFont val="Aptos Narrow"/>
      </rPr>
      <t xml:space="preserve">V </t>
    </r>
    <r>
      <rPr>
        <vertAlign val="superscript"/>
        <sz val="11"/>
        <color theme="1"/>
        <rFont val="Aptos Narrow"/>
      </rPr>
      <t xml:space="preserve">x+y/2 </t>
    </r>
  </si>
  <si>
    <r>
      <rPr>
        <b/>
        <sz val="11"/>
        <color theme="1"/>
        <rFont val="Aptos Narrow"/>
      </rPr>
      <t>C</t>
    </r>
    <r>
      <rPr>
        <vertAlign val="subscript"/>
        <sz val="11"/>
        <color theme="1"/>
        <rFont val="Aptos Narrow"/>
      </rPr>
      <t>xy</t>
    </r>
  </si>
  <si>
    <r>
      <rPr>
        <b/>
        <sz val="11"/>
        <color theme="1"/>
        <rFont val="Aptos Narrow"/>
      </rPr>
      <t>D</t>
    </r>
    <r>
      <rPr>
        <vertAlign val="subscript"/>
        <sz val="11"/>
        <color theme="1"/>
        <rFont val="Aptos Narrow"/>
      </rPr>
      <t>xy</t>
    </r>
  </si>
  <si>
    <r>
      <rPr>
        <b/>
        <sz val="11"/>
        <color theme="1"/>
        <rFont val="Aptos Narrow"/>
      </rPr>
      <t>M</t>
    </r>
    <r>
      <rPr>
        <vertAlign val="subscript"/>
        <sz val="11"/>
        <color theme="1"/>
        <rFont val="Aptos Narrow"/>
      </rPr>
      <t>xy</t>
    </r>
  </si>
  <si>
    <r>
      <rPr>
        <b/>
        <sz val="11"/>
        <color theme="1"/>
        <rFont val="Aptos Narrow"/>
      </rPr>
      <t>N</t>
    </r>
    <r>
      <rPr>
        <vertAlign val="subscript"/>
        <sz val="11"/>
        <color theme="1"/>
        <rFont val="Aptos Narrow"/>
      </rPr>
      <t>xy</t>
    </r>
  </si>
  <si>
    <t>1)</t>
  </si>
  <si>
    <t>6)</t>
  </si>
  <si>
    <t>2)</t>
  </si>
  <si>
    <t>7)</t>
  </si>
  <si>
    <t>3)</t>
  </si>
  <si>
    <t>8)</t>
  </si>
  <si>
    <t>4)</t>
  </si>
  <si>
    <t>9)</t>
  </si>
  <si>
    <t>5)</t>
  </si>
  <si>
    <t>10)</t>
  </si>
  <si>
    <t>a</t>
  </si>
  <si>
    <r>
      <rPr>
        <sz val="11"/>
        <color theme="1"/>
        <rFont val="Aptos Narrow"/>
      </rPr>
      <t>n * M</t>
    </r>
    <r>
      <rPr>
        <vertAlign val="subscript"/>
        <sz val="11"/>
        <color theme="1"/>
        <rFont val="Aptos Narrow"/>
      </rPr>
      <t>x</t>
    </r>
  </si>
  <si>
    <r>
      <rPr>
        <sz val="11"/>
        <color theme="1"/>
        <rFont val="Aptos Narrow"/>
      </rPr>
      <t>n * N</t>
    </r>
    <r>
      <rPr>
        <vertAlign val="subscript"/>
        <sz val="11"/>
        <color theme="1"/>
        <rFont val="Aptos Narrow"/>
      </rPr>
      <t>x+1</t>
    </r>
  </si>
  <si>
    <t>b</t>
  </si>
  <si>
    <r>
      <rPr>
        <sz val="11"/>
        <color theme="1"/>
        <rFont val="Aptos Narrow"/>
      </rPr>
      <t>R</t>
    </r>
    <r>
      <rPr>
        <vertAlign val="subscript"/>
        <sz val="11"/>
        <color theme="1"/>
        <rFont val="Aptos Narrow"/>
      </rPr>
      <t>x+1</t>
    </r>
  </si>
  <si>
    <r>
      <rPr>
        <sz val="11"/>
        <color theme="1"/>
        <rFont val="Aptos Narrow"/>
      </rPr>
      <t>S</t>
    </r>
    <r>
      <rPr>
        <vertAlign val="subscript"/>
        <sz val="11"/>
        <color theme="1"/>
        <rFont val="Aptos Narrow"/>
      </rPr>
      <t>x+2</t>
    </r>
  </si>
  <si>
    <t>c</t>
  </si>
  <si>
    <r>
      <rPr>
        <sz val="11"/>
        <color theme="1"/>
        <rFont val="Aptos Narrow"/>
      </rPr>
      <t>R</t>
    </r>
    <r>
      <rPr>
        <vertAlign val="subscript"/>
        <sz val="11"/>
        <color theme="1"/>
        <rFont val="Aptos Narrow"/>
      </rPr>
      <t>x+n+1</t>
    </r>
  </si>
  <si>
    <r>
      <rPr>
        <sz val="11"/>
        <color theme="1"/>
        <rFont val="Aptos Narrow"/>
      </rPr>
      <t>S</t>
    </r>
    <r>
      <rPr>
        <vertAlign val="subscript"/>
        <sz val="11"/>
        <color theme="1"/>
        <rFont val="Aptos Narrow"/>
      </rPr>
      <t>x+n+2</t>
    </r>
  </si>
  <si>
    <t>a-(b-c)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</si>
</sst>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b/>
      <vertAlign val="subscript"/>
      <sz val="11"/>
      <color theme="1"/>
      <name val="Aptos Narrow"/>
    </font>
    <font>
      <vertAlign val="subscript"/>
      <sz val="11"/>
      <color theme="1"/>
      <name val="Aptos Narrow"/>
    </font>
    <font>
      <vertAlign val="superscript"/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/>
    <xf numFmtId="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abSelected="1" topLeftCell="A4" workbookViewId="0"/>
  </sheetViews>
  <sheetFormatPr defaultColWidth="12.64453125" defaultRowHeight="15" customHeight="1" x14ac:dyDescent="0.2"/>
  <cols>
    <col min="1" max="26" width="10.625" customWidth="1"/>
  </cols>
  <sheetData>
    <row r="1" spans="2:5" ht="14.25" customHeight="1" x14ac:dyDescent="0.2"/>
    <row r="2" spans="2:5" ht="14.25" customHeight="1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14.25" customHeight="1" x14ac:dyDescent="0.2">
      <c r="B3" s="2">
        <v>0</v>
      </c>
      <c r="C3" s="2">
        <v>95</v>
      </c>
      <c r="D3" s="2">
        <v>0.14000000000000001</v>
      </c>
      <c r="E3" s="2">
        <f t="shared" ref="E3:E7" si="0">1-D3</f>
        <v>0.86</v>
      </c>
    </row>
    <row r="4" spans="2:5" ht="14.25" customHeight="1" x14ac:dyDescent="0.2">
      <c r="B4" s="2">
        <v>1</v>
      </c>
      <c r="C4" s="2">
        <f t="shared" ref="C4:C7" si="1">C3+1</f>
        <v>96</v>
      </c>
      <c r="D4" s="2">
        <v>0.32</v>
      </c>
      <c r="E4" s="2">
        <f t="shared" si="0"/>
        <v>0.67999999999999994</v>
      </c>
    </row>
    <row r="5" spans="2:5" ht="14.25" customHeight="1" x14ac:dyDescent="0.2">
      <c r="B5" s="2">
        <v>2</v>
      </c>
      <c r="C5" s="2">
        <f t="shared" si="1"/>
        <v>97</v>
      </c>
      <c r="D5" s="2">
        <v>0.23</v>
      </c>
      <c r="E5" s="2">
        <f t="shared" si="0"/>
        <v>0.77</v>
      </c>
    </row>
    <row r="6" spans="2:5" ht="14.25" customHeight="1" x14ac:dyDescent="0.2">
      <c r="B6" s="2">
        <v>3</v>
      </c>
      <c r="C6" s="2">
        <f t="shared" si="1"/>
        <v>98</v>
      </c>
      <c r="D6" s="2">
        <v>0.45</v>
      </c>
      <c r="E6" s="2">
        <f t="shared" si="0"/>
        <v>0.55000000000000004</v>
      </c>
    </row>
    <row r="7" spans="2:5" ht="14.25" customHeight="1" x14ac:dyDescent="0.2">
      <c r="B7" s="2">
        <v>4</v>
      </c>
      <c r="C7" s="2">
        <f t="shared" si="1"/>
        <v>99</v>
      </c>
      <c r="D7" s="2">
        <v>1</v>
      </c>
      <c r="E7" s="2">
        <f t="shared" si="0"/>
        <v>0</v>
      </c>
    </row>
    <row r="8" spans="2:5" ht="14.25" customHeight="1" x14ac:dyDescent="0.2">
      <c r="B8" s="2"/>
      <c r="C8" s="2"/>
    </row>
    <row r="9" spans="2:5" ht="14.25" customHeight="1" x14ac:dyDescent="0.3">
      <c r="B9" s="2" t="s">
        <v>4</v>
      </c>
      <c r="C9" s="3">
        <f>E3*E4*E4*E5</f>
        <v>0.30620127999999996</v>
      </c>
    </row>
    <row r="10" spans="2:5" ht="14.25" customHeight="1" x14ac:dyDescent="0.3">
      <c r="B10" s="2" t="s">
        <v>5</v>
      </c>
      <c r="C10" s="3">
        <f>E4*E5</f>
        <v>0.52359999999999995</v>
      </c>
    </row>
    <row r="11" spans="2:5" ht="14.25" customHeight="1" x14ac:dyDescent="0.3">
      <c r="B11" s="2" t="s">
        <v>6</v>
      </c>
      <c r="C11" s="3">
        <f>1-(E5*E6)</f>
        <v>0.57650000000000001</v>
      </c>
    </row>
    <row r="12" spans="2:5" ht="14.25" customHeight="1" x14ac:dyDescent="0.3">
      <c r="B12" s="2" t="s">
        <v>7</v>
      </c>
      <c r="C12" s="3">
        <f>1-(E5*E6*E6*E7)</f>
        <v>1</v>
      </c>
    </row>
    <row r="13" spans="2:5" ht="14.25" customHeight="1" x14ac:dyDescent="0.3">
      <c r="B13" s="2" t="s">
        <v>8</v>
      </c>
      <c r="C13" s="3">
        <f>(E4*E5)-(E4*E5*E5*E6)</f>
        <v>0.30185539999999994</v>
      </c>
    </row>
    <row r="14" spans="2:5" ht="14.25" customHeight="1" x14ac:dyDescent="0.3">
      <c r="B14" s="2" t="s">
        <v>9</v>
      </c>
      <c r="C14" s="3">
        <f>(E3*E4*E4*E5)-(E3*E4*E5*E4*E5*E6)</f>
        <v>0.17652503791999996</v>
      </c>
    </row>
    <row r="15" spans="2:5" ht="14.25" customHeight="1" x14ac:dyDescent="0.3">
      <c r="B15" s="2" t="s">
        <v>10</v>
      </c>
      <c r="C15" s="3">
        <f>C13</f>
        <v>0.30185539999999994</v>
      </c>
    </row>
    <row r="16" spans="2:5" ht="14.25" customHeight="1" x14ac:dyDescent="0.3">
      <c r="B16" s="2" t="s">
        <v>11</v>
      </c>
      <c r="C16" s="3">
        <f>C9</f>
        <v>0.30620127999999996</v>
      </c>
    </row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opLeftCell="A13" workbookViewId="0"/>
  </sheetViews>
  <sheetFormatPr defaultColWidth="12.64453125" defaultRowHeight="15" customHeight="1" x14ac:dyDescent="0.2"/>
  <cols>
    <col min="1" max="9" width="10.625" customWidth="1"/>
    <col min="10" max="15" width="11.43359375" customWidth="1"/>
    <col min="16" max="26" width="10.625" customWidth="1"/>
  </cols>
  <sheetData>
    <row r="1" spans="2:15" ht="14.25" customHeight="1" x14ac:dyDescent="0.2"/>
    <row r="2" spans="2:15" ht="14.25" customHeight="1" x14ac:dyDescent="0.2">
      <c r="B2" s="4" t="s">
        <v>12</v>
      </c>
      <c r="C2" s="4" t="s">
        <v>1</v>
      </c>
      <c r="D2" s="4" t="s">
        <v>13</v>
      </c>
      <c r="E2" s="4" t="s">
        <v>14</v>
      </c>
      <c r="F2" s="4" t="s">
        <v>15</v>
      </c>
      <c r="J2" s="5"/>
    </row>
    <row r="3" spans="2:15" ht="14.25" customHeight="1" x14ac:dyDescent="0.2">
      <c r="B3" s="6">
        <v>0.05</v>
      </c>
      <c r="C3" s="7">
        <v>95</v>
      </c>
      <c r="D3" s="7">
        <v>96</v>
      </c>
      <c r="E3" s="7">
        <f>1/(1+B3)</f>
        <v>0.95238095238095233</v>
      </c>
      <c r="F3" s="7">
        <f>(1/F8)</f>
        <v>0.01</v>
      </c>
      <c r="J3" s="5"/>
    </row>
    <row r="4" spans="2:15" ht="14.25" customHeight="1" x14ac:dyDescent="0.2">
      <c r="J4" s="5"/>
    </row>
    <row r="5" spans="2:15" ht="14.25" customHeight="1" x14ac:dyDescent="0.2"/>
    <row r="6" spans="2:15" ht="14.25" customHeight="1" x14ac:dyDescent="0.2">
      <c r="B6" s="2" t="s">
        <v>16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ht="14.25" customHeight="1" x14ac:dyDescent="0.3">
      <c r="B7" s="1" t="s">
        <v>0</v>
      </c>
      <c r="C7" s="1" t="s">
        <v>1</v>
      </c>
      <c r="D7" s="1" t="s">
        <v>2</v>
      </c>
      <c r="E7" s="1" t="s">
        <v>3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</row>
    <row r="8" spans="2:15" ht="14.25" customHeight="1" x14ac:dyDescent="0.2">
      <c r="B8" s="2">
        <v>0</v>
      </c>
      <c r="C8" s="2">
        <v>95</v>
      </c>
      <c r="D8" s="2">
        <v>0.14000000000000001</v>
      </c>
      <c r="E8" s="2">
        <f t="shared" ref="E8:E12" si="0">1-D8</f>
        <v>0.86</v>
      </c>
      <c r="F8" s="2">
        <v>100</v>
      </c>
      <c r="G8" s="2">
        <f t="shared" ref="G8:G12" si="1">F9</f>
        <v>86</v>
      </c>
      <c r="H8" s="2">
        <f t="shared" ref="H8:H11" si="2">$F$3*F8*G8</f>
        <v>86</v>
      </c>
      <c r="I8" s="2">
        <f t="shared" ref="I8:I12" si="3">H8-H9</f>
        <v>35.7072</v>
      </c>
      <c r="J8" s="8">
        <f t="shared" ref="J8:J12" si="4">($E$3)^((($C8+$C9))/2 +1)</f>
        <v>9.0205421413597255E-3</v>
      </c>
      <c r="K8" s="8">
        <f t="shared" ref="K8:K12" si="5">($E$3)^((($C8+$C9))/2 )</f>
        <v>9.4715692484277133E-3</v>
      </c>
      <c r="L8" s="2">
        <f t="shared" ref="L8:L12" si="6">I8*J8</f>
        <v>0.32209830234996001</v>
      </c>
      <c r="M8" s="8">
        <f t="shared" ref="M8:M12" si="7">K8*H8</f>
        <v>0.8145549553647834</v>
      </c>
      <c r="N8" s="8">
        <f t="shared" ref="N8:N12" si="8">SUM($L8:L$12)</f>
        <v>0.73904551000913432</v>
      </c>
      <c r="O8" s="8">
        <f t="shared" ref="O8:O12" si="9">SUM($M8:M$12)</f>
        <v>1.5856983524686294</v>
      </c>
    </row>
    <row r="9" spans="2:15" ht="14.25" customHeight="1" x14ac:dyDescent="0.2">
      <c r="B9" s="2">
        <v>1</v>
      </c>
      <c r="C9" s="2">
        <v>96</v>
      </c>
      <c r="D9" s="2">
        <v>0.32</v>
      </c>
      <c r="E9" s="2">
        <f t="shared" si="0"/>
        <v>0.67999999999999994</v>
      </c>
      <c r="F9" s="2">
        <f t="shared" ref="F9:F12" si="10">F8*E8</f>
        <v>86</v>
      </c>
      <c r="G9" s="2">
        <f t="shared" si="1"/>
        <v>58.48</v>
      </c>
      <c r="H9" s="2">
        <f t="shared" si="2"/>
        <v>50.2928</v>
      </c>
      <c r="I9" s="2">
        <f t="shared" si="3"/>
        <v>23.959489919999999</v>
      </c>
      <c r="J9" s="8">
        <f t="shared" si="4"/>
        <v>8.5909925155806897E-3</v>
      </c>
      <c r="K9" s="8">
        <f t="shared" si="5"/>
        <v>9.0205421413597255E-3</v>
      </c>
      <c r="L9" s="2">
        <f t="shared" si="6"/>
        <v>0.20583579857985096</v>
      </c>
      <c r="M9" s="8">
        <f t="shared" si="7"/>
        <v>0.45366832180697642</v>
      </c>
      <c r="N9" s="8">
        <f t="shared" si="8"/>
        <v>0.41694720765917431</v>
      </c>
      <c r="O9" s="8">
        <f t="shared" si="9"/>
        <v>0.77114339710384605</v>
      </c>
    </row>
    <row r="10" spans="2:15" ht="14.25" customHeight="1" x14ac:dyDescent="0.2">
      <c r="B10" s="2">
        <v>2</v>
      </c>
      <c r="C10" s="2">
        <v>97</v>
      </c>
      <c r="D10" s="2">
        <v>0.23</v>
      </c>
      <c r="E10" s="2">
        <f t="shared" si="0"/>
        <v>0.77</v>
      </c>
      <c r="F10" s="2">
        <f t="shared" si="10"/>
        <v>58.48</v>
      </c>
      <c r="G10" s="2">
        <f t="shared" si="1"/>
        <v>45.029600000000002</v>
      </c>
      <c r="H10" s="2">
        <f t="shared" si="2"/>
        <v>26.33331008</v>
      </c>
      <c r="I10" s="2">
        <f t="shared" si="3"/>
        <v>15.181153261119999</v>
      </c>
      <c r="J10" s="8">
        <f t="shared" si="4"/>
        <v>8.1818976338863779E-3</v>
      </c>
      <c r="K10" s="8">
        <f t="shared" si="5"/>
        <v>8.5909925155806897E-3</v>
      </c>
      <c r="L10" s="2">
        <f t="shared" si="6"/>
        <v>0.12421064194682419</v>
      </c>
      <c r="M10" s="8">
        <f t="shared" si="7"/>
        <v>0.22622926980774555</v>
      </c>
      <c r="N10" s="8">
        <f t="shared" si="8"/>
        <v>0.21111140907932335</v>
      </c>
      <c r="O10" s="8">
        <f t="shared" si="9"/>
        <v>0.31747507529686969</v>
      </c>
    </row>
    <row r="11" spans="2:15" ht="14.25" customHeight="1" x14ac:dyDescent="0.2">
      <c r="B11" s="2">
        <v>3</v>
      </c>
      <c r="C11" s="2">
        <v>98</v>
      </c>
      <c r="D11" s="2">
        <v>0.45</v>
      </c>
      <c r="E11" s="2">
        <f t="shared" si="0"/>
        <v>0.55000000000000004</v>
      </c>
      <c r="F11" s="2">
        <f t="shared" si="10"/>
        <v>45.029600000000002</v>
      </c>
      <c r="G11" s="2">
        <f t="shared" si="1"/>
        <v>24.766280000000002</v>
      </c>
      <c r="H11" s="2">
        <f t="shared" si="2"/>
        <v>11.152156818880002</v>
      </c>
      <c r="I11" s="2">
        <f t="shared" si="3"/>
        <v>11.152156818880002</v>
      </c>
      <c r="J11" s="8">
        <f t="shared" si="4"/>
        <v>7.7922834608441681E-3</v>
      </c>
      <c r="K11" s="8">
        <f t="shared" si="5"/>
        <v>8.1818976338863779E-3</v>
      </c>
      <c r="L11" s="2">
        <f t="shared" si="6"/>
        <v>8.6900767132499154E-2</v>
      </c>
      <c r="M11" s="8">
        <f t="shared" si="7"/>
        <v>9.1245805489124115E-2</v>
      </c>
      <c r="N11" s="8">
        <f t="shared" si="8"/>
        <v>8.6900767132499154E-2</v>
      </c>
      <c r="O11" s="8">
        <f t="shared" si="9"/>
        <v>9.1245805489124115E-2</v>
      </c>
    </row>
    <row r="12" spans="2:15" ht="14.25" customHeight="1" x14ac:dyDescent="0.2">
      <c r="B12" s="2">
        <v>4</v>
      </c>
      <c r="C12" s="2">
        <v>99</v>
      </c>
      <c r="D12" s="2">
        <v>1</v>
      </c>
      <c r="E12" s="2">
        <f t="shared" si="0"/>
        <v>0</v>
      </c>
      <c r="F12" s="2">
        <f t="shared" si="10"/>
        <v>24.766280000000002</v>
      </c>
      <c r="G12" s="2">
        <f t="shared" si="1"/>
        <v>0</v>
      </c>
      <c r="H12" s="2">
        <f>$O$13*F12*G12</f>
        <v>0</v>
      </c>
      <c r="I12" s="2">
        <f t="shared" si="3"/>
        <v>0</v>
      </c>
      <c r="J12" s="8">
        <f t="shared" si="4"/>
        <v>8.5102123513730032E-2</v>
      </c>
      <c r="K12" s="8">
        <f t="shared" si="5"/>
        <v>8.9357229689416548E-2</v>
      </c>
      <c r="L12" s="2">
        <f t="shared" si="6"/>
        <v>0</v>
      </c>
      <c r="M12" s="8">
        <f t="shared" si="7"/>
        <v>0</v>
      </c>
      <c r="N12" s="8">
        <f t="shared" si="8"/>
        <v>0</v>
      </c>
      <c r="O12" s="8">
        <f t="shared" si="9"/>
        <v>0</v>
      </c>
    </row>
    <row r="13" spans="2:15" ht="14.25" customHeight="1" x14ac:dyDescent="0.2"/>
    <row r="14" spans="2:15" ht="14.25" customHeight="1" x14ac:dyDescent="0.2">
      <c r="L14" s="9"/>
    </row>
    <row r="15" spans="2:15" ht="14.25" customHeight="1" x14ac:dyDescent="0.2"/>
    <row r="16" spans="2:15" ht="14.25" customHeight="1" x14ac:dyDescent="0.2">
      <c r="B16" s="2" t="s">
        <v>27</v>
      </c>
      <c r="C16" s="3">
        <f>100*N8/M8</f>
        <v>90.72997532476694</v>
      </c>
      <c r="D16" s="2" t="s">
        <v>28</v>
      </c>
      <c r="E16" s="3">
        <f>100 * (O9/M8)</f>
        <v>94.67051817989416</v>
      </c>
    </row>
    <row r="17" spans="1:5" ht="14.25" customHeight="1" x14ac:dyDescent="0.2">
      <c r="B17" s="2" t="s">
        <v>29</v>
      </c>
      <c r="C17" s="3">
        <f>100 * ((N8-N11)/M8)</f>
        <v>80.061478796674209</v>
      </c>
      <c r="D17" s="2" t="s">
        <v>30</v>
      </c>
      <c r="E17" s="3">
        <f>100*((O8-O10)/M8)</f>
        <v>155.69523809523807</v>
      </c>
    </row>
    <row r="18" spans="1:5" ht="14.25" customHeight="1" x14ac:dyDescent="0.2">
      <c r="B18" s="2" t="s">
        <v>31</v>
      </c>
      <c r="C18" s="3">
        <f>100*(N10/M8)</f>
        <v>25.917393011841789</v>
      </c>
      <c r="D18" s="2" t="s">
        <v>32</v>
      </c>
      <c r="E18" s="3">
        <f>100 * (O10/M8)</f>
        <v>38.975280084656085</v>
      </c>
    </row>
    <row r="19" spans="1:5" ht="14.25" customHeight="1" x14ac:dyDescent="0.2">
      <c r="B19" s="2" t="s">
        <v>33</v>
      </c>
      <c r="C19" s="3">
        <f>100 * (SUM(N8:N12)/M8)</f>
        <v>178.50298304661126</v>
      </c>
      <c r="D19" s="2" t="s">
        <v>34</v>
      </c>
      <c r="E19" s="3">
        <f>100 * (SUM(O8:O12)/M8)</f>
        <v>339.5182377989417</v>
      </c>
    </row>
    <row r="20" spans="1:5" ht="14.25" customHeight="1" x14ac:dyDescent="0.2">
      <c r="B20" s="2" t="s">
        <v>35</v>
      </c>
      <c r="C20" s="3">
        <f>100 *C25/M8</f>
        <v>184.41691825245653</v>
      </c>
      <c r="D20" s="2" t="s">
        <v>36</v>
      </c>
      <c r="E20" s="3">
        <f>100 * (E25/M8)</f>
        <v>139.16383492063486</v>
      </c>
    </row>
    <row r="21" spans="1:5" ht="14.25" customHeight="1" x14ac:dyDescent="0.2"/>
    <row r="22" spans="1:5" ht="14.25" customHeight="1" x14ac:dyDescent="0.3">
      <c r="A22" s="10" t="s">
        <v>37</v>
      </c>
      <c r="B22" s="11" t="s">
        <v>38</v>
      </c>
      <c r="C22" s="2">
        <f>3*N8</f>
        <v>2.2171365300274029</v>
      </c>
      <c r="D22" s="12" t="s">
        <v>39</v>
      </c>
      <c r="E22" s="2">
        <f>2 *O9</f>
        <v>1.5422867942076921</v>
      </c>
    </row>
    <row r="23" spans="1:5" ht="14.25" customHeight="1" x14ac:dyDescent="0.3">
      <c r="A23" s="10" t="s">
        <v>40</v>
      </c>
      <c r="B23" s="11" t="s">
        <v>41</v>
      </c>
      <c r="C23" s="8">
        <f>SUM(N9:N12)</f>
        <v>0.71495938387099678</v>
      </c>
      <c r="D23" s="12" t="s">
        <v>42</v>
      </c>
      <c r="E23" s="8">
        <f>SUM(O10:O12)</f>
        <v>0.40872088078599378</v>
      </c>
    </row>
    <row r="24" spans="1:5" ht="14.25" customHeight="1" x14ac:dyDescent="0.3">
      <c r="A24" s="10" t="s">
        <v>43</v>
      </c>
      <c r="B24" s="11" t="s">
        <v>44</v>
      </c>
      <c r="C24" s="8">
        <f>SUM(N12)</f>
        <v>0</v>
      </c>
      <c r="D24" s="12" t="s">
        <v>45</v>
      </c>
      <c r="E24" s="2">
        <v>0</v>
      </c>
    </row>
    <row r="25" spans="1:5" ht="14.25" customHeight="1" x14ac:dyDescent="0.2">
      <c r="A25" s="2"/>
      <c r="B25" s="11" t="s">
        <v>46</v>
      </c>
      <c r="C25" s="8">
        <f>C22-(C23-C24)</f>
        <v>1.5021771461564062</v>
      </c>
      <c r="D25" s="13" t="s">
        <v>46</v>
      </c>
      <c r="E25" s="8">
        <f>E22-(E23-E24)</f>
        <v>1.1335659134216982</v>
      </c>
    </row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2)</vt:lpstr>
      <vt:lpstr>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JESUS SAYNES</dc:creator>
  <dcterms:created xsi:type="dcterms:W3CDTF">2026-02-26T06:26:52Z</dcterms:created>
</cp:coreProperties>
</file>