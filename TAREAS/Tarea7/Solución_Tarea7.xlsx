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yma\OneDrive\Desktop\ruy\ESCUELA\ACTUARIALES II\"/>
    </mc:Choice>
  </mc:AlternateContent>
  <xr:revisionPtr revIDLastSave="0" documentId="13_ncr:1_{AFECCF40-382E-4A2D-81AD-71A879A5AD41}" xr6:coauthVersionLast="47" xr6:coauthVersionMax="47" xr10:uidLastSave="{00000000-0000-0000-0000-000000000000}"/>
  <bookViews>
    <workbookView xWindow="-90" yWindow="0" windowWidth="9780" windowHeight="10170" activeTab="1" xr2:uid="{A532E7E7-8E58-40F0-ADC6-FFE613B6D8C0}"/>
  </bookViews>
  <sheets>
    <sheet name="Ejercicio 5" sheetId="1" r:id="rId1"/>
    <sheet name="Ejercicio 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G10" i="2"/>
  <c r="G9" i="2"/>
  <c r="G8" i="2"/>
  <c r="G7" i="2"/>
  <c r="G6" i="2"/>
  <c r="G5" i="2"/>
  <c r="G4" i="2"/>
  <c r="H3" i="2"/>
  <c r="G3" i="2" s="1"/>
  <c r="G2" i="2"/>
  <c r="N23" i="2"/>
  <c r="N22" i="2"/>
  <c r="N21" i="2"/>
  <c r="N20" i="2"/>
  <c r="N19" i="2"/>
  <c r="N18" i="2"/>
  <c r="M19" i="2"/>
  <c r="M20" i="2"/>
  <c r="M21" i="2"/>
  <c r="M22" i="2"/>
  <c r="M23" i="2"/>
  <c r="M18" i="2"/>
  <c r="L19" i="2"/>
  <c r="L20" i="2"/>
  <c r="L21" i="2"/>
  <c r="L22" i="2"/>
  <c r="L23" i="2"/>
  <c r="L18" i="2"/>
  <c r="K19" i="2"/>
  <c r="K20" i="2"/>
  <c r="K21" i="2"/>
  <c r="K22" i="2"/>
  <c r="K23" i="2"/>
  <c r="K18" i="2"/>
  <c r="J15" i="2"/>
  <c r="F18" i="2"/>
  <c r="G19" i="2" s="1"/>
  <c r="I15" i="2"/>
  <c r="F20" i="2"/>
  <c r="F21" i="2"/>
  <c r="F22" i="2"/>
  <c r="F19" i="2"/>
  <c r="D20" i="2"/>
  <c r="D21" i="2" s="1"/>
  <c r="D22" i="2" s="1"/>
  <c r="E6" i="1"/>
  <c r="E7" i="1" s="1"/>
  <c r="E8" i="1" s="1"/>
  <c r="E9" i="1" s="1"/>
  <c r="B6" i="1"/>
  <c r="G5" i="1"/>
  <c r="O5" i="1" s="1"/>
  <c r="F5" i="1"/>
  <c r="N5" i="1" s="1"/>
  <c r="E3" i="1"/>
  <c r="I19" i="2" l="1"/>
  <c r="I18" i="2"/>
  <c r="G20" i="2"/>
  <c r="H18" i="2"/>
  <c r="J18" i="2" s="1"/>
  <c r="H5" i="1"/>
  <c r="L5" i="1" s="1"/>
  <c r="S5" i="1" s="1"/>
  <c r="E10" i="1"/>
  <c r="H6" i="1" s="1"/>
  <c r="L6" i="1" s="1"/>
  <c r="S6" i="1" s="1"/>
  <c r="G6" i="1"/>
  <c r="O6" i="1" s="1"/>
  <c r="F6" i="1"/>
  <c r="B7" i="1"/>
  <c r="J5" i="1"/>
  <c r="Q5" i="1" s="1"/>
  <c r="I5" i="1"/>
  <c r="P5" i="1" s="1"/>
  <c r="G21" i="2" l="1"/>
  <c r="H19" i="2"/>
  <c r="J19" i="2" s="1"/>
  <c r="K5" i="1"/>
  <c r="R5" i="1" s="1"/>
  <c r="M5" i="1"/>
  <c r="T5" i="1" s="1"/>
  <c r="G7" i="1"/>
  <c r="O7" i="1" s="1"/>
  <c r="H7" i="1"/>
  <c r="L7" i="1" s="1"/>
  <c r="S7" i="1" s="1"/>
  <c r="B8" i="1"/>
  <c r="F7" i="1"/>
  <c r="N6" i="1"/>
  <c r="K6" i="1"/>
  <c r="R6" i="1" s="1"/>
  <c r="I6" i="1"/>
  <c r="P6" i="1" s="1"/>
  <c r="M6" i="1"/>
  <c r="T6" i="1" s="1"/>
  <c r="J6" i="1"/>
  <c r="Q6" i="1" s="1"/>
  <c r="H10" i="1"/>
  <c r="L10" i="1" s="1"/>
  <c r="S10" i="1" s="1"/>
  <c r="Z10" i="1" s="1"/>
  <c r="F10" i="1"/>
  <c r="G10" i="1"/>
  <c r="O10" i="1" s="1"/>
  <c r="V10" i="1" s="1"/>
  <c r="G22" i="2" l="1"/>
  <c r="I21" i="2"/>
  <c r="H20" i="2"/>
  <c r="J20" i="2" s="1"/>
  <c r="I20" i="2"/>
  <c r="N7" i="1"/>
  <c r="K7" i="1"/>
  <c r="R7" i="1" s="1"/>
  <c r="I7" i="1"/>
  <c r="P7" i="1" s="1"/>
  <c r="M7" i="1"/>
  <c r="T7" i="1" s="1"/>
  <c r="J7" i="1"/>
  <c r="Q7" i="1" s="1"/>
  <c r="G8" i="1"/>
  <c r="O8" i="1" s="1"/>
  <c r="H8" i="1"/>
  <c r="L8" i="1" s="1"/>
  <c r="S8" i="1" s="1"/>
  <c r="F8" i="1"/>
  <c r="B9" i="1"/>
  <c r="I10" i="1"/>
  <c r="P10" i="1" s="1"/>
  <c r="W10" i="1" s="1"/>
  <c r="N10" i="1"/>
  <c r="U10" i="1" s="1"/>
  <c r="K10" i="1"/>
  <c r="R10" i="1" s="1"/>
  <c r="Y10" i="1" s="1"/>
  <c r="M10" i="1"/>
  <c r="T10" i="1" s="1"/>
  <c r="AA10" i="1" s="1"/>
  <c r="J10" i="1"/>
  <c r="Q10" i="1" s="1"/>
  <c r="X10" i="1" s="1"/>
  <c r="I22" i="2" l="1"/>
  <c r="H21" i="2"/>
  <c r="J21" i="2" s="1"/>
  <c r="G23" i="2"/>
  <c r="N8" i="1"/>
  <c r="J8" i="1"/>
  <c r="Q8" i="1" s="1"/>
  <c r="M8" i="1"/>
  <c r="T8" i="1" s="1"/>
  <c r="K8" i="1"/>
  <c r="R8" i="1" s="1"/>
  <c r="I8" i="1"/>
  <c r="P8" i="1" s="1"/>
  <c r="H9" i="1"/>
  <c r="L9" i="1" s="1"/>
  <c r="S9" i="1" s="1"/>
  <c r="Z9" i="1" s="1"/>
  <c r="G9" i="1"/>
  <c r="O9" i="1" s="1"/>
  <c r="F9" i="1"/>
  <c r="Z8" i="1"/>
  <c r="Z5" i="1"/>
  <c r="I23" i="2" l="1"/>
  <c r="H23" i="2"/>
  <c r="J23" i="2" s="1"/>
  <c r="H22" i="2"/>
  <c r="J22" i="2" s="1"/>
  <c r="N9" i="1"/>
  <c r="U8" i="1" s="1"/>
  <c r="K9" i="1"/>
  <c r="R9" i="1" s="1"/>
  <c r="Y5" i="1" s="1"/>
  <c r="M9" i="1"/>
  <c r="T9" i="1" s="1"/>
  <c r="J9" i="1"/>
  <c r="Q9" i="1" s="1"/>
  <c r="X8" i="1" s="1"/>
  <c r="I9" i="1"/>
  <c r="P9" i="1" s="1"/>
  <c r="V9" i="1"/>
  <c r="V5" i="1"/>
  <c r="V6" i="1"/>
  <c r="W8" i="1"/>
  <c r="W6" i="1"/>
  <c r="V7" i="1"/>
  <c r="Z6" i="1"/>
  <c r="Z7" i="1"/>
  <c r="V8" i="1"/>
  <c r="X6" i="1" l="1"/>
  <c r="Y8" i="1"/>
  <c r="Y6" i="1"/>
  <c r="W9" i="1"/>
  <c r="W7" i="1"/>
  <c r="W5" i="1"/>
  <c r="E14" i="1" s="1"/>
  <c r="X9" i="1"/>
  <c r="X7" i="1"/>
  <c r="X5" i="1"/>
  <c r="AA9" i="1"/>
  <c r="AA7" i="1"/>
  <c r="AA5" i="1"/>
  <c r="AA6" i="1"/>
  <c r="AA8" i="1"/>
  <c r="Y9" i="1"/>
  <c r="Y7" i="1"/>
  <c r="U9" i="1"/>
  <c r="E16" i="1" s="1"/>
  <c r="U7" i="1"/>
  <c r="U5" i="1"/>
  <c r="U6" i="1"/>
  <c r="E17" i="1" l="1"/>
  <c r="E15" i="1"/>
  <c r="E13" i="1"/>
</calcChain>
</file>

<file path=xl/sharedStrings.xml><?xml version="1.0" encoding="utf-8"?>
<sst xmlns="http://schemas.openxmlformats.org/spreadsheetml/2006/main" count="68" uniqueCount="53">
  <si>
    <t>i</t>
  </si>
  <si>
    <t>V</t>
  </si>
  <si>
    <t>x</t>
  </si>
  <si>
    <t>y</t>
  </si>
  <si>
    <t>z</t>
  </si>
  <si>
    <t>k</t>
  </si>
  <si>
    <t>qx</t>
  </si>
  <si>
    <t>lx</t>
  </si>
  <si>
    <t>ly</t>
  </si>
  <si>
    <t>lz</t>
  </si>
  <si>
    <t>lxy</t>
  </si>
  <si>
    <t>lxx</t>
  </si>
  <si>
    <t>lxz</t>
  </si>
  <si>
    <t>lzz</t>
  </si>
  <si>
    <t>lxzz</t>
  </si>
  <si>
    <t xml:space="preserve">Dx </t>
  </si>
  <si>
    <t>Dy</t>
  </si>
  <si>
    <t>Dxy</t>
  </si>
  <si>
    <t>Dxx</t>
  </si>
  <si>
    <t>Dxz</t>
  </si>
  <si>
    <t>Dzz</t>
  </si>
  <si>
    <t>Dxzz</t>
  </si>
  <si>
    <t>Nx</t>
  </si>
  <si>
    <t>Ny</t>
  </si>
  <si>
    <t>Nxy</t>
  </si>
  <si>
    <t>Nxx</t>
  </si>
  <si>
    <t>Nxz</t>
  </si>
  <si>
    <t>Nzz</t>
  </si>
  <si>
    <t>Nxzz</t>
  </si>
  <si>
    <t>a</t>
  </si>
  <si>
    <t>b</t>
  </si>
  <si>
    <t>c</t>
  </si>
  <si>
    <t>d</t>
  </si>
  <si>
    <t>e</t>
  </si>
  <si>
    <t>f</t>
  </si>
  <si>
    <t>g</t>
  </si>
  <si>
    <t>Se emite una anualidad que pagará 100 unidades al final de cada año en el que (95) esté con vida, a partir del fallecimiento de (96). Calcular lo que se indica:</t>
  </si>
  <si>
    <t>La PNU</t>
  </si>
  <si>
    <t>Prima anual PA1, pagadera mientras los 2 estén con vida</t>
  </si>
  <si>
    <t>La Prima anual PA2 pagadera durante 3 años, siempre que los 2 estén con vida</t>
  </si>
  <si>
    <t>La reserva al final del año 2, con PNU, si ambos están con vida</t>
  </si>
  <si>
    <t>La reserva al final del año 2, con PA1, si ambos están con vida</t>
  </si>
  <si>
    <t>La reserva al final del año 2, con PA2, si ambos están con vida</t>
  </si>
  <si>
    <t>La reserva al final del año 2, con PNU si sólo (95) está con vida</t>
  </si>
  <si>
    <t>La reserva al final del año 2, con PA1 si sólo (95) está con vida</t>
  </si>
  <si>
    <t>La reserva al final del año 2, con PA2 si sólo (95) está con vida</t>
  </si>
  <si>
    <t>La reserva al final del año 2, con PNU si sólo (96) está con vida</t>
  </si>
  <si>
    <t>px</t>
  </si>
  <si>
    <r>
      <t>a</t>
    </r>
    <r>
      <rPr>
        <vertAlign val="subscript"/>
        <sz val="11"/>
        <color theme="1"/>
        <rFont val="Aptos Narrow"/>
        <family val="2"/>
        <scheme val="minor"/>
      </rPr>
      <t xml:space="preserve">96|95 </t>
    </r>
  </si>
  <si>
    <r>
      <t xml:space="preserve"> a</t>
    </r>
    <r>
      <rPr>
        <vertAlign val="subscript"/>
        <sz val="11"/>
        <color theme="1"/>
        <rFont val="Aptos Narrow"/>
        <family val="2"/>
        <scheme val="minor"/>
      </rPr>
      <t>95</t>
    </r>
    <r>
      <rPr>
        <sz val="11"/>
        <color theme="1"/>
        <rFont val="Aptos Narrow"/>
        <family val="2"/>
        <scheme val="minor"/>
      </rPr>
      <t xml:space="preserve"> - a</t>
    </r>
    <r>
      <rPr>
        <vertAlign val="subscript"/>
        <sz val="11"/>
        <color theme="1"/>
        <rFont val="Aptos Narrow"/>
        <family val="2"/>
        <scheme val="minor"/>
      </rPr>
      <t>95:96</t>
    </r>
  </si>
  <si>
    <t>h</t>
  </si>
  <si>
    <t>dx</t>
  </si>
  <si>
    <t>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</si>
</sst>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vertAlign val="subscript"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B0262"/>
        <bgColor indexed="64"/>
      </patternFill>
    </fill>
    <fill>
      <patternFill patternType="solid">
        <fgColor rgb="FF3A923A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9" fontId="0" fillId="0" borderId="4" xfId="0" applyNumberFormat="1" applyBorder="1"/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4" xfId="0" applyBorder="1"/>
    <xf numFmtId="164" fontId="0" fillId="0" borderId="6" xfId="0" applyNumberFormat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3" fillId="5" borderId="0" xfId="0" applyFont="1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9" xfId="0" applyBorder="1" applyAlignment="1">
      <alignment horizontal="center"/>
    </xf>
    <xf numFmtId="9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B0262"/>
      <color rgb="FF3A92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0BA5-1008-465F-AD32-D2AAA42B86F0}">
  <dimension ref="B1:AA19"/>
  <sheetViews>
    <sheetView topLeftCell="B4" workbookViewId="0">
      <selection activeCell="E21" sqref="E21"/>
    </sheetView>
  </sheetViews>
  <sheetFormatPr baseColWidth="10" defaultRowHeight="14.5" x14ac:dyDescent="0.35"/>
  <sheetData>
    <row r="1" spans="2:27" ht="15" thickBot="1" x14ac:dyDescent="0.4"/>
    <row r="2" spans="2:27" x14ac:dyDescent="0.35">
      <c r="D2" s="11" t="s">
        <v>0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2:27" ht="15" thickBot="1" x14ac:dyDescent="0.4">
      <c r="D3" s="1">
        <v>0.04</v>
      </c>
      <c r="E3" s="2">
        <f>1/(1+D3)</f>
        <v>0.96153846153846145</v>
      </c>
      <c r="F3" s="3">
        <v>95</v>
      </c>
      <c r="G3" s="3">
        <v>96</v>
      </c>
      <c r="H3" s="4">
        <v>99</v>
      </c>
    </row>
    <row r="4" spans="2:27" x14ac:dyDescent="0.35">
      <c r="B4" s="11" t="s">
        <v>5</v>
      </c>
      <c r="C4" s="12" t="s">
        <v>2</v>
      </c>
      <c r="D4" s="12" t="s">
        <v>6</v>
      </c>
      <c r="E4" s="12" t="s">
        <v>7</v>
      </c>
      <c r="F4" s="13" t="s">
        <v>7</v>
      </c>
      <c r="G4" s="14" t="s">
        <v>8</v>
      </c>
      <c r="H4" s="14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  <c r="S4" s="15" t="s">
        <v>20</v>
      </c>
      <c r="T4" s="15" t="s">
        <v>21</v>
      </c>
      <c r="U4" s="15" t="s">
        <v>22</v>
      </c>
      <c r="V4" s="15" t="s">
        <v>23</v>
      </c>
      <c r="W4" s="15" t="s">
        <v>24</v>
      </c>
      <c r="X4" s="15" t="s">
        <v>25</v>
      </c>
      <c r="Y4" s="15" t="s">
        <v>26</v>
      </c>
      <c r="Z4" s="15" t="s">
        <v>27</v>
      </c>
      <c r="AA4" s="16" t="s">
        <v>28</v>
      </c>
    </row>
    <row r="5" spans="2:27" x14ac:dyDescent="0.35">
      <c r="B5" s="5">
        <v>0</v>
      </c>
      <c r="C5" s="6">
        <v>95</v>
      </c>
      <c r="D5" s="6">
        <v>0.15</v>
      </c>
      <c r="E5" s="6">
        <v>1000</v>
      </c>
      <c r="F5" s="6">
        <f>VLOOKUP(F$3+$B5,$C$4:$E$10,3)</f>
        <v>1000</v>
      </c>
      <c r="G5" s="6">
        <f t="shared" ref="G5:H10" si="0">VLOOKUP(G$3+$B5,$C$4:$E$10,3)</f>
        <v>850</v>
      </c>
      <c r="H5" s="6">
        <f t="shared" si="0"/>
        <v>285.59999999999997</v>
      </c>
      <c r="I5" s="6">
        <f>(F5*G5)/1000</f>
        <v>850</v>
      </c>
      <c r="J5" s="6">
        <f>F5^2/1000</f>
        <v>1000</v>
      </c>
      <c r="K5" s="6">
        <f t="shared" ref="K5:K10" si="1">F5*H5/1000</f>
        <v>285.59999999999997</v>
      </c>
      <c r="L5" s="6">
        <f t="shared" ref="L5:L10" si="2">(H5^2)/1000</f>
        <v>81.567359999999979</v>
      </c>
      <c r="M5" s="6">
        <f t="shared" ref="M5:M10" si="3">(F5*H5^2)/1000^2</f>
        <v>81.567359999999979</v>
      </c>
      <c r="N5" s="7">
        <f>F5*$E$3^(F$3+$B5)</f>
        <v>24.089776272237316</v>
      </c>
      <c r="O5" s="7">
        <f>G5*$E$3^(G$3+$B5)</f>
        <v>19.688759453270883</v>
      </c>
      <c r="P5" s="6">
        <f>I5*$E$3^((F$3+$B5+G$3+$B5)/2)</f>
        <v>20.078673730132547</v>
      </c>
      <c r="Q5" s="6">
        <f>J5*$E$3^((F$3+$B5+F$3+$B5)/2)</f>
        <v>24.089776272237316</v>
      </c>
      <c r="R5" s="6">
        <f>K5*$E$3^((F$3+$B5+H$3+$B5)/2)</f>
        <v>6.3609838233644371</v>
      </c>
      <c r="S5" s="6">
        <f>L5*$E$3^((H$3+$B5+H$3+$B5)/2)</f>
        <v>1.6796384799860233</v>
      </c>
      <c r="T5" s="6">
        <f>M5*$E$3^((H$3+$B5+H$3+$B5+F$3+$B5)/3)</f>
        <v>1.7698111818567126</v>
      </c>
      <c r="U5" s="7">
        <f>SUM(N5:N$10)</f>
        <v>74.998706752059135</v>
      </c>
      <c r="V5" s="7">
        <f>SUM(O5:O$10)</f>
        <v>50.908930479821819</v>
      </c>
      <c r="W5" s="7">
        <f>SUM(P5:P$10)</f>
        <v>43.130992642305095</v>
      </c>
      <c r="X5" s="7">
        <f>SUM(Q5:Q$10)</f>
        <v>57.655884943704045</v>
      </c>
      <c r="Y5" s="7">
        <f>SUM(R5:R$10)</f>
        <v>6.3609838233644371</v>
      </c>
      <c r="Z5" s="7">
        <f>SUM(S5:S$10)</f>
        <v>1.6796384799860233</v>
      </c>
      <c r="AA5" s="8">
        <f>SUM(T5:T$10)</f>
        <v>1.7698111818567126</v>
      </c>
    </row>
    <row r="6" spans="2:27" x14ac:dyDescent="0.35">
      <c r="B6" s="5">
        <f>B5+1</f>
        <v>1</v>
      </c>
      <c r="C6" s="6">
        <v>96</v>
      </c>
      <c r="D6" s="6">
        <v>0.2</v>
      </c>
      <c r="E6" s="6">
        <f>E5*(1-D5)</f>
        <v>850</v>
      </c>
      <c r="F6" s="6">
        <f t="shared" ref="F6:F10" si="4">VLOOKUP(F$3+$B6,$C$4:$E$10,3)</f>
        <v>850</v>
      </c>
      <c r="G6" s="6">
        <f t="shared" si="0"/>
        <v>680</v>
      </c>
      <c r="H6" s="6">
        <f t="shared" si="0"/>
        <v>0</v>
      </c>
      <c r="I6" s="6">
        <f t="shared" ref="I6:I10" si="5">(F6*G6)/1000</f>
        <v>578</v>
      </c>
      <c r="J6" s="6">
        <f t="shared" ref="J6:J10" si="6">F6^2/1000</f>
        <v>722.5</v>
      </c>
      <c r="K6" s="6">
        <f t="shared" si="1"/>
        <v>0</v>
      </c>
      <c r="L6" s="6">
        <f t="shared" si="2"/>
        <v>0</v>
      </c>
      <c r="M6" s="6">
        <f t="shared" si="3"/>
        <v>0</v>
      </c>
      <c r="N6" s="7">
        <f t="shared" ref="N6:O10" si="7">F6*$E$3^(F$3+$B6)</f>
        <v>19.688759453270883</v>
      </c>
      <c r="O6" s="7">
        <f t="shared" si="7"/>
        <v>15.145199579439138</v>
      </c>
      <c r="P6" s="6">
        <f t="shared" ref="P6:P10" si="8">I6*$E$3^((F$3+$B6+G$3+$B6)/2)</f>
        <v>13.128363592778976</v>
      </c>
      <c r="Q6" s="6">
        <f t="shared" ref="Q6:Q10" si="9">J6*$E$3^((F$3+$B6+F$3+$B6)/2)</f>
        <v>16.735445535280249</v>
      </c>
      <c r="R6" s="6">
        <f t="shared" ref="R6:R10" si="10">K6*$E$3^((F$3+$B6+H$3+$B6)/2)</f>
        <v>0</v>
      </c>
      <c r="S6" s="6">
        <f t="shared" ref="S6:S10" si="11">L6*$E$3^((H$3+$B6+H$3+$B6)/2)</f>
        <v>0</v>
      </c>
      <c r="T6" s="6">
        <f t="shared" ref="T6:T10" si="12">M6*$E$3^((H$3+$B6+H$3+$B6+F$3+$B6)/3)</f>
        <v>0</v>
      </c>
      <c r="U6" s="7">
        <f>SUM(N6:N$10)</f>
        <v>50.908930479821819</v>
      </c>
      <c r="V6" s="7">
        <f>SUM(O6:O$10)</f>
        <v>31.220171026550943</v>
      </c>
      <c r="W6" s="7">
        <f>SUM(P6:P$10)</f>
        <v>23.052318912172549</v>
      </c>
      <c r="X6" s="7">
        <f>SUM(Q6:Q$10)</f>
        <v>33.566108671466729</v>
      </c>
      <c r="Y6" s="7">
        <f>SUM(R6:R$10)</f>
        <v>0</v>
      </c>
      <c r="Z6" s="7">
        <f>SUM(S6:S$10)</f>
        <v>0</v>
      </c>
      <c r="AA6" s="8">
        <f>SUM(T6:T$10)</f>
        <v>0</v>
      </c>
    </row>
    <row r="7" spans="2:27" x14ac:dyDescent="0.35">
      <c r="B7" s="5">
        <f t="shared" ref="B7:B9" si="13">B6+1</f>
        <v>2</v>
      </c>
      <c r="C7" s="6">
        <v>97</v>
      </c>
      <c r="D7" s="6">
        <v>0.3</v>
      </c>
      <c r="E7" s="6">
        <f t="shared" ref="E7:E10" si="14">E6*(1-D6)</f>
        <v>680</v>
      </c>
      <c r="F7" s="6">
        <f t="shared" si="4"/>
        <v>680</v>
      </c>
      <c r="G7" s="6">
        <f t="shared" si="0"/>
        <v>475.99999999999994</v>
      </c>
      <c r="H7" s="6">
        <f t="shared" si="0"/>
        <v>0</v>
      </c>
      <c r="I7" s="6">
        <f t="shared" si="5"/>
        <v>323.67999999999995</v>
      </c>
      <c r="J7" s="6">
        <f t="shared" si="6"/>
        <v>462.4</v>
      </c>
      <c r="K7" s="6">
        <f t="shared" si="1"/>
        <v>0</v>
      </c>
      <c r="L7" s="6">
        <f t="shared" si="2"/>
        <v>0</v>
      </c>
      <c r="M7" s="6">
        <f t="shared" si="3"/>
        <v>0</v>
      </c>
      <c r="N7" s="7">
        <f t="shared" si="7"/>
        <v>15.145199579439138</v>
      </c>
      <c r="O7" s="7">
        <f t="shared" si="7"/>
        <v>10.193884332314804</v>
      </c>
      <c r="P7" s="6">
        <f t="shared" si="8"/>
        <v>7.0691188576502153</v>
      </c>
      <c r="Q7" s="6">
        <f t="shared" si="9"/>
        <v>10.298735714018614</v>
      </c>
      <c r="R7" s="6">
        <f t="shared" si="10"/>
        <v>0</v>
      </c>
      <c r="S7" s="6">
        <f t="shared" si="11"/>
        <v>0</v>
      </c>
      <c r="T7" s="6">
        <f t="shared" si="12"/>
        <v>0</v>
      </c>
      <c r="U7" s="7">
        <f>SUM(N7:N$10)</f>
        <v>31.220171026550943</v>
      </c>
      <c r="V7" s="7">
        <f>SUM(O7:O$10)</f>
        <v>16.074971447111807</v>
      </c>
      <c r="W7" s="7">
        <f>SUM(P7:P$10)</f>
        <v>9.9239553193935706</v>
      </c>
      <c r="X7" s="7">
        <f>SUM(Q7:Q$10)</f>
        <v>16.830663136186484</v>
      </c>
      <c r="Y7" s="7">
        <f>SUM(R7:R$10)</f>
        <v>0</v>
      </c>
      <c r="Z7" s="7">
        <f>SUM(S7:S$10)</f>
        <v>0</v>
      </c>
      <c r="AA7" s="8">
        <f>SUM(T7:T$10)</f>
        <v>0</v>
      </c>
    </row>
    <row r="8" spans="2:27" x14ac:dyDescent="0.35">
      <c r="B8" s="5">
        <f t="shared" si="13"/>
        <v>3</v>
      </c>
      <c r="C8" s="6">
        <v>98</v>
      </c>
      <c r="D8" s="6">
        <v>0.4</v>
      </c>
      <c r="E8" s="6">
        <f t="shared" si="14"/>
        <v>475.99999999999994</v>
      </c>
      <c r="F8" s="6">
        <f t="shared" si="4"/>
        <v>475.99999999999994</v>
      </c>
      <c r="G8" s="6">
        <f t="shared" si="0"/>
        <v>285.59999999999997</v>
      </c>
      <c r="H8" s="6">
        <f t="shared" si="0"/>
        <v>0</v>
      </c>
      <c r="I8" s="6">
        <f t="shared" si="5"/>
        <v>135.94559999999998</v>
      </c>
      <c r="J8" s="6">
        <f t="shared" si="6"/>
        <v>226.57599999999994</v>
      </c>
      <c r="K8" s="6">
        <f t="shared" si="1"/>
        <v>0</v>
      </c>
      <c r="L8" s="6">
        <f t="shared" si="2"/>
        <v>0</v>
      </c>
      <c r="M8" s="6">
        <f t="shared" si="3"/>
        <v>0</v>
      </c>
      <c r="N8" s="7">
        <f t="shared" si="7"/>
        <v>10.193884332314804</v>
      </c>
      <c r="O8" s="7">
        <f t="shared" si="7"/>
        <v>5.8810871147970012</v>
      </c>
      <c r="P8" s="6">
        <f t="shared" si="8"/>
        <v>2.8548364617433561</v>
      </c>
      <c r="Q8" s="6">
        <f t="shared" si="9"/>
        <v>4.8522889421818451</v>
      </c>
      <c r="R8" s="6">
        <f t="shared" si="10"/>
        <v>0</v>
      </c>
      <c r="S8" s="6">
        <f t="shared" si="11"/>
        <v>0</v>
      </c>
      <c r="T8" s="6">
        <f t="shared" si="12"/>
        <v>0</v>
      </c>
      <c r="U8" s="7">
        <f>SUM(N8:N$10)</f>
        <v>16.074971447111807</v>
      </c>
      <c r="V8" s="7">
        <f>SUM(O8:O$10)</f>
        <v>5.8810871147970012</v>
      </c>
      <c r="W8" s="7">
        <f>SUM(P8:P$10)</f>
        <v>2.8548364617433561</v>
      </c>
      <c r="X8" s="7">
        <f>SUM(Q8:Q$10)</f>
        <v>6.5319274221678683</v>
      </c>
      <c r="Y8" s="7">
        <f>SUM(R8:R$10)</f>
        <v>0</v>
      </c>
      <c r="Z8" s="7">
        <f>SUM(S8:S$10)</f>
        <v>0</v>
      </c>
      <c r="AA8" s="8">
        <f>SUM(T8:T$10)</f>
        <v>0</v>
      </c>
    </row>
    <row r="9" spans="2:27" x14ac:dyDescent="0.35">
      <c r="B9" s="5">
        <f t="shared" si="13"/>
        <v>4</v>
      </c>
      <c r="C9" s="6">
        <v>99</v>
      </c>
      <c r="D9" s="6">
        <v>1</v>
      </c>
      <c r="E9" s="6">
        <f t="shared" si="14"/>
        <v>285.59999999999997</v>
      </c>
      <c r="F9" s="6">
        <f t="shared" si="4"/>
        <v>285.59999999999997</v>
      </c>
      <c r="G9" s="6">
        <f t="shared" si="0"/>
        <v>0</v>
      </c>
      <c r="H9" s="6">
        <f t="shared" si="0"/>
        <v>0</v>
      </c>
      <c r="I9" s="6">
        <f t="shared" si="5"/>
        <v>0</v>
      </c>
      <c r="J9" s="6">
        <f t="shared" si="6"/>
        <v>81.567359999999979</v>
      </c>
      <c r="K9" s="6">
        <f t="shared" si="1"/>
        <v>0</v>
      </c>
      <c r="L9" s="6">
        <f t="shared" si="2"/>
        <v>0</v>
      </c>
      <c r="M9" s="6">
        <f t="shared" si="3"/>
        <v>0</v>
      </c>
      <c r="N9" s="7">
        <f t="shared" si="7"/>
        <v>5.8810871147970012</v>
      </c>
      <c r="O9" s="7">
        <f t="shared" si="7"/>
        <v>0</v>
      </c>
      <c r="P9" s="6">
        <f t="shared" si="8"/>
        <v>0</v>
      </c>
      <c r="Q9" s="6">
        <f t="shared" si="9"/>
        <v>1.6796384799860233</v>
      </c>
      <c r="R9" s="6">
        <f t="shared" si="10"/>
        <v>0</v>
      </c>
      <c r="S9" s="6">
        <f t="shared" si="11"/>
        <v>0</v>
      </c>
      <c r="T9" s="6">
        <f t="shared" si="12"/>
        <v>0</v>
      </c>
      <c r="U9" s="7">
        <f>SUM(N9:N$10)</f>
        <v>5.8810871147970012</v>
      </c>
      <c r="V9" s="7">
        <f>SUM(O9:O$10)</f>
        <v>0</v>
      </c>
      <c r="W9" s="7">
        <f>SUM(P9:P$10)</f>
        <v>0</v>
      </c>
      <c r="X9" s="7">
        <f>SUM(Q9:Q$10)</f>
        <v>1.6796384799860233</v>
      </c>
      <c r="Y9" s="7">
        <f>SUM(R9:R$10)</f>
        <v>0</v>
      </c>
      <c r="Z9" s="7">
        <f>SUM(S9:S$10)</f>
        <v>0</v>
      </c>
      <c r="AA9" s="8">
        <f>SUM(T9:T$10)</f>
        <v>0</v>
      </c>
    </row>
    <row r="10" spans="2:27" ht="15" thickBot="1" x14ac:dyDescent="0.4">
      <c r="B10" s="9">
        <v>5</v>
      </c>
      <c r="C10" s="3">
        <v>100</v>
      </c>
      <c r="D10" s="3">
        <v>1</v>
      </c>
      <c r="E10" s="3">
        <f t="shared" si="14"/>
        <v>0</v>
      </c>
      <c r="F10" s="3">
        <f t="shared" si="4"/>
        <v>0</v>
      </c>
      <c r="G10" s="3">
        <f t="shared" si="0"/>
        <v>0</v>
      </c>
      <c r="H10" s="3">
        <f t="shared" si="0"/>
        <v>0</v>
      </c>
      <c r="I10" s="3">
        <f t="shared" si="5"/>
        <v>0</v>
      </c>
      <c r="J10" s="3">
        <f t="shared" si="6"/>
        <v>0</v>
      </c>
      <c r="K10" s="3">
        <f t="shared" si="1"/>
        <v>0</v>
      </c>
      <c r="L10" s="3">
        <f t="shared" si="2"/>
        <v>0</v>
      </c>
      <c r="M10" s="3">
        <f t="shared" si="3"/>
        <v>0</v>
      </c>
      <c r="N10" s="2">
        <f t="shared" si="7"/>
        <v>0</v>
      </c>
      <c r="O10" s="2">
        <f t="shared" si="7"/>
        <v>0</v>
      </c>
      <c r="P10" s="3">
        <f t="shared" si="8"/>
        <v>0</v>
      </c>
      <c r="Q10" s="3">
        <f t="shared" si="9"/>
        <v>0</v>
      </c>
      <c r="R10" s="3">
        <f t="shared" si="10"/>
        <v>0</v>
      </c>
      <c r="S10" s="3">
        <f t="shared" si="11"/>
        <v>0</v>
      </c>
      <c r="T10" s="3">
        <f t="shared" si="12"/>
        <v>0</v>
      </c>
      <c r="U10" s="2">
        <f>SUM(N10:N$10)</f>
        <v>0</v>
      </c>
      <c r="V10" s="2">
        <f>SUM(O10:O$10)</f>
        <v>0</v>
      </c>
      <c r="W10" s="2">
        <f>SUM(P10:P$10)</f>
        <v>0</v>
      </c>
      <c r="X10" s="2">
        <f>SUM(Q10:Q$10)</f>
        <v>0</v>
      </c>
      <c r="Y10" s="2">
        <f>SUM(R10:R$10)</f>
        <v>0</v>
      </c>
      <c r="Z10" s="2">
        <f>SUM(S10:S$10)</f>
        <v>0</v>
      </c>
      <c r="AA10" s="10">
        <f>SUM(T10:T$10)</f>
        <v>0</v>
      </c>
    </row>
    <row r="12" spans="2:27" ht="15" thickBot="1" x14ac:dyDescent="0.4"/>
    <row r="13" spans="2:27" x14ac:dyDescent="0.35">
      <c r="D13" s="20" t="s">
        <v>29</v>
      </c>
      <c r="E13" s="17">
        <f>100*(U5/N5-X5/Q5)</f>
        <v>71.992456934280995</v>
      </c>
    </row>
    <row r="14" spans="2:27" x14ac:dyDescent="0.35">
      <c r="D14" s="21" t="s">
        <v>30</v>
      </c>
      <c r="E14" s="18">
        <f>100*(V5/O5-W5/P5)</f>
        <v>43.758534365043154</v>
      </c>
    </row>
    <row r="15" spans="2:27" x14ac:dyDescent="0.35">
      <c r="D15" s="21" t="s">
        <v>31</v>
      </c>
      <c r="E15" s="18">
        <f>100*(U5/N5-W5/P5)</f>
        <v>96.52005794615026</v>
      </c>
    </row>
    <row r="16" spans="2:27" x14ac:dyDescent="0.35">
      <c r="D16" s="21" t="s">
        <v>32</v>
      </c>
      <c r="E16" s="18">
        <f>100*(U9/N9-Y5/R5)</f>
        <v>0</v>
      </c>
    </row>
    <row r="17" spans="4:5" x14ac:dyDescent="0.35">
      <c r="D17" s="21" t="s">
        <v>33</v>
      </c>
      <c r="E17" s="18">
        <f>100*(U5/N5-Y5/R5)</f>
        <v>211.3300260845208</v>
      </c>
    </row>
    <row r="18" spans="4:5" x14ac:dyDescent="0.35">
      <c r="D18" s="21" t="s">
        <v>34</v>
      </c>
      <c r="E18" s="18">
        <v>0</v>
      </c>
    </row>
    <row r="19" spans="4:5" ht="15" thickBot="1" x14ac:dyDescent="0.4">
      <c r="D19" s="22" t="s">
        <v>35</v>
      </c>
      <c r="E19" s="19">
        <f>100*((U6/N5))</f>
        <v>211.3300260845208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0526-2879-4AB6-A0AA-619B14427756}">
  <dimension ref="A1:N23"/>
  <sheetViews>
    <sheetView tabSelected="1" zoomScale="86" zoomScaleNormal="86" workbookViewId="0">
      <selection activeCell="H6" sqref="H6"/>
    </sheetView>
  </sheetViews>
  <sheetFormatPr baseColWidth="10" defaultRowHeight="14.5" x14ac:dyDescent="0.35"/>
  <cols>
    <col min="1" max="5" width="10.90625" style="23"/>
    <col min="6" max="6" width="12.7265625" style="23" customWidth="1"/>
    <col min="7" max="16384" width="10.90625" style="23"/>
  </cols>
  <sheetData>
    <row r="1" spans="1:11" x14ac:dyDescent="0.35">
      <c r="A1" s="25" t="s">
        <v>36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6.5" x14ac:dyDescent="0.45">
      <c r="A2" s="28" t="s">
        <v>37</v>
      </c>
      <c r="B2" s="29"/>
      <c r="C2" s="29"/>
      <c r="D2" s="29"/>
      <c r="E2" s="29"/>
      <c r="F2" s="29"/>
      <c r="G2" s="30">
        <f>100 * (M19/K18 - (N19/L18))</f>
        <v>97.227494749686286</v>
      </c>
      <c r="H2" s="23" t="s">
        <v>48</v>
      </c>
      <c r="I2" s="23" t="s">
        <v>49</v>
      </c>
    </row>
    <row r="3" spans="1:11" x14ac:dyDescent="0.35">
      <c r="A3" s="28" t="s">
        <v>38</v>
      </c>
      <c r="B3" s="29"/>
      <c r="C3" s="29"/>
      <c r="D3" s="29"/>
      <c r="E3" s="29"/>
      <c r="F3" s="29"/>
      <c r="G3" s="30">
        <f>G2/H3</f>
        <v>44.594115510343848</v>
      </c>
      <c r="H3" s="23">
        <f>N18/L18</f>
        <v>2.1802763354984322</v>
      </c>
    </row>
    <row r="4" spans="1:11" x14ac:dyDescent="0.35">
      <c r="A4" s="28" t="s">
        <v>39</v>
      </c>
      <c r="B4" s="29"/>
      <c r="C4" s="29"/>
      <c r="D4" s="29"/>
      <c r="E4" s="29"/>
      <c r="F4" s="29"/>
      <c r="G4" s="30">
        <f>G2/((N18-N21)/L18)</f>
        <v>47.705158559278381</v>
      </c>
    </row>
    <row r="5" spans="1:11" x14ac:dyDescent="0.35">
      <c r="A5" s="28" t="s">
        <v>40</v>
      </c>
      <c r="B5" s="29"/>
      <c r="C5" s="29"/>
      <c r="D5" s="29"/>
      <c r="E5" s="29"/>
      <c r="F5" s="29"/>
      <c r="G5" s="30">
        <f>100*(M21/K20 -(N21/L20))</f>
        <v>63.794944820220721</v>
      </c>
    </row>
    <row r="6" spans="1:11" x14ac:dyDescent="0.35">
      <c r="A6" s="28" t="s">
        <v>41</v>
      </c>
      <c r="B6" s="29"/>
      <c r="C6" s="29"/>
      <c r="D6" s="29"/>
      <c r="E6" s="29"/>
      <c r="F6" s="29"/>
      <c r="G6" s="30">
        <f>G5-(G3*N20/L20)</f>
        <v>1.5314627869104527</v>
      </c>
    </row>
    <row r="7" spans="1:11" x14ac:dyDescent="0.35">
      <c r="A7" s="28" t="s">
        <v>42</v>
      </c>
      <c r="B7" s="29"/>
      <c r="C7" s="29"/>
      <c r="D7" s="29"/>
      <c r="E7" s="29"/>
      <c r="F7" s="29"/>
      <c r="G7" s="30">
        <f>G5-(G4*(N20-N21)/L20)</f>
        <v>16.08978626094234</v>
      </c>
    </row>
    <row r="8" spans="1:11" x14ac:dyDescent="0.35">
      <c r="A8" s="28" t="s">
        <v>43</v>
      </c>
      <c r="B8" s="29"/>
      <c r="C8" s="29"/>
      <c r="D8" s="29"/>
      <c r="E8" s="29"/>
      <c r="F8" s="29"/>
      <c r="G8" s="30">
        <f>100*M21/K20</f>
        <v>103.41758632965467</v>
      </c>
    </row>
    <row r="9" spans="1:11" x14ac:dyDescent="0.35">
      <c r="A9" s="28" t="s">
        <v>44</v>
      </c>
      <c r="B9" s="29"/>
      <c r="C9" s="29"/>
      <c r="D9" s="29"/>
      <c r="E9" s="29"/>
      <c r="F9" s="29"/>
      <c r="G9" s="30">
        <f>G8</f>
        <v>103.41758632965467</v>
      </c>
    </row>
    <row r="10" spans="1:11" x14ac:dyDescent="0.35">
      <c r="A10" s="28" t="s">
        <v>45</v>
      </c>
      <c r="B10" s="29"/>
      <c r="C10" s="29"/>
      <c r="D10" s="29"/>
      <c r="E10" s="29"/>
      <c r="F10" s="29"/>
      <c r="G10" s="30">
        <f>G9</f>
        <v>103.41758632965467</v>
      </c>
    </row>
    <row r="11" spans="1:11" x14ac:dyDescent="0.35">
      <c r="A11" s="28" t="s">
        <v>46</v>
      </c>
      <c r="B11" s="29"/>
      <c r="C11" s="29"/>
      <c r="D11" s="29"/>
      <c r="E11" s="29"/>
      <c r="F11" s="29"/>
      <c r="G11" s="30">
        <v>0</v>
      </c>
    </row>
    <row r="12" spans="1:11" x14ac:dyDescent="0.35">
      <c r="A12" s="27"/>
    </row>
    <row r="13" spans="1:11" x14ac:dyDescent="0.35">
      <c r="A13" s="27"/>
    </row>
    <row r="14" spans="1:11" x14ac:dyDescent="0.35">
      <c r="A14" s="27"/>
      <c r="F14" s="24" t="s">
        <v>2</v>
      </c>
      <c r="G14" s="24" t="s">
        <v>3</v>
      </c>
      <c r="H14" s="24" t="s">
        <v>0</v>
      </c>
      <c r="I14" s="24" t="s">
        <v>1</v>
      </c>
      <c r="J14" s="23" t="s">
        <v>50</v>
      </c>
    </row>
    <row r="15" spans="1:11" x14ac:dyDescent="0.35">
      <c r="A15" s="27"/>
      <c r="F15" s="31">
        <v>95</v>
      </c>
      <c r="G15" s="31">
        <v>96</v>
      </c>
      <c r="H15" s="32">
        <v>0.06</v>
      </c>
      <c r="I15" s="31">
        <f>1/(1+H15)</f>
        <v>0.94339622641509424</v>
      </c>
      <c r="J15" s="23">
        <f>1/(G18)</f>
        <v>0.01</v>
      </c>
    </row>
    <row r="17" spans="3:14" x14ac:dyDescent="0.35">
      <c r="C17" s="24" t="s">
        <v>5</v>
      </c>
      <c r="D17" s="24" t="s">
        <v>2</v>
      </c>
      <c r="E17" s="24" t="s">
        <v>6</v>
      </c>
      <c r="F17" s="24" t="s">
        <v>47</v>
      </c>
      <c r="G17" s="24" t="s">
        <v>7</v>
      </c>
      <c r="H17" s="24" t="s">
        <v>8</v>
      </c>
      <c r="I17" s="24" t="s">
        <v>51</v>
      </c>
      <c r="J17" s="24" t="s">
        <v>10</v>
      </c>
      <c r="K17" s="24" t="s">
        <v>52</v>
      </c>
      <c r="L17" s="24" t="s">
        <v>17</v>
      </c>
      <c r="M17" s="24" t="s">
        <v>22</v>
      </c>
      <c r="N17" s="24" t="s">
        <v>24</v>
      </c>
    </row>
    <row r="18" spans="3:14" x14ac:dyDescent="0.35">
      <c r="C18" s="23">
        <v>0</v>
      </c>
      <c r="D18" s="23">
        <v>95</v>
      </c>
      <c r="E18" s="23">
        <v>0.1</v>
      </c>
      <c r="F18" s="23">
        <f>1-E18</f>
        <v>0.9</v>
      </c>
      <c r="G18" s="23">
        <v>100</v>
      </c>
      <c r="H18" s="23">
        <f>LOOKUP($G$15+$C18,$D$18:$D$23,$G$18:$G$23)</f>
        <v>90</v>
      </c>
      <c r="I18" s="23">
        <f>G18-G19</f>
        <v>10</v>
      </c>
      <c r="J18" s="23">
        <f t="shared" ref="J18:J23" si="0">G18*H18*$J$15</f>
        <v>90</v>
      </c>
      <c r="K18" s="23">
        <f>($I$15^($F$15+$C18))*(G18)</f>
        <v>0.39440535222733236</v>
      </c>
      <c r="L18" s="23">
        <f>($I$15^(($F$15+$C18+$G$15+$C18)/2))*(J18)</f>
        <v>0.34477230839080114</v>
      </c>
      <c r="M18" s="23">
        <f>SUM(K18:K$23)</f>
        <v>1.2433830991844879</v>
      </c>
      <c r="N18" s="23">
        <f>SUM(L18:L$23)</f>
        <v>0.75169890511963133</v>
      </c>
    </row>
    <row r="19" spans="3:14" x14ac:dyDescent="0.35">
      <c r="C19" s="23">
        <v>1</v>
      </c>
      <c r="D19" s="23">
        <v>96</v>
      </c>
      <c r="E19" s="23">
        <v>0.2</v>
      </c>
      <c r="F19" s="23">
        <f>1-E19</f>
        <v>0.8</v>
      </c>
      <c r="G19" s="23">
        <f>G18*F18</f>
        <v>90</v>
      </c>
      <c r="H19" s="23">
        <f t="shared" ref="H19:H23" si="1">LOOKUP($G$15+$C19,$D$18:$D$23,$G$18:$G$23)</f>
        <v>72</v>
      </c>
      <c r="I19" s="23">
        <f t="shared" ref="I19:I23" si="2">G19-G20</f>
        <v>18</v>
      </c>
      <c r="J19" s="23">
        <f t="shared" si="0"/>
        <v>64.8</v>
      </c>
      <c r="K19" s="23">
        <f t="shared" ref="K19:K23" si="3">($I$15^($F$15+$C19))*(G19)</f>
        <v>0.3348724688722633</v>
      </c>
      <c r="L19" s="23">
        <f t="shared" ref="L19:L23" si="4">($I$15^(($F$15+$C19+$G$15+$C19)/2))*(J19)</f>
        <v>0.23418496418997828</v>
      </c>
      <c r="M19" s="23">
        <f>SUM(K19:K$23)</f>
        <v>0.84897774695715555</v>
      </c>
      <c r="N19" s="23">
        <f>SUM(L19:L$23)</f>
        <v>0.40692659672883014</v>
      </c>
    </row>
    <row r="20" spans="3:14" x14ac:dyDescent="0.35">
      <c r="C20" s="23">
        <v>2</v>
      </c>
      <c r="D20" s="23">
        <f>D19+1</f>
        <v>97</v>
      </c>
      <c r="E20" s="23">
        <v>0.3</v>
      </c>
      <c r="F20" s="23">
        <f t="shared" ref="F20:F22" si="5">1-E20</f>
        <v>0.7</v>
      </c>
      <c r="G20" s="23">
        <f t="shared" ref="G20:G23" si="6">G19*F19</f>
        <v>72</v>
      </c>
      <c r="H20" s="23">
        <f t="shared" si="1"/>
        <v>50.4</v>
      </c>
      <c r="I20" s="23">
        <f t="shared" si="2"/>
        <v>21.6</v>
      </c>
      <c r="J20" s="23">
        <f t="shared" si="0"/>
        <v>36.287999999999997</v>
      </c>
      <c r="K20" s="23">
        <f t="shared" si="3"/>
        <v>0.25273393877151945</v>
      </c>
      <c r="L20" s="23">
        <f t="shared" si="4"/>
        <v>0.12372035843998849</v>
      </c>
      <c r="M20" s="23">
        <f>SUM(K20:K$23)</f>
        <v>0.51410527808489215</v>
      </c>
      <c r="N20" s="23">
        <f>SUM(L20:L$23)</f>
        <v>0.17274163253885183</v>
      </c>
    </row>
    <row r="21" spans="3:14" x14ac:dyDescent="0.35">
      <c r="C21" s="23">
        <v>3</v>
      </c>
      <c r="D21" s="23">
        <f t="shared" ref="D21:D22" si="7">D20+1</f>
        <v>98</v>
      </c>
      <c r="E21" s="23">
        <v>0.4</v>
      </c>
      <c r="F21" s="23">
        <f t="shared" si="5"/>
        <v>0.6</v>
      </c>
      <c r="G21" s="23">
        <f t="shared" si="6"/>
        <v>50.4</v>
      </c>
      <c r="H21" s="23">
        <f t="shared" si="1"/>
        <v>30.24</v>
      </c>
      <c r="I21" s="23">
        <f t="shared" si="2"/>
        <v>20.16</v>
      </c>
      <c r="J21" s="23">
        <f t="shared" si="0"/>
        <v>15.240959999999998</v>
      </c>
      <c r="K21" s="23">
        <f t="shared" si="3"/>
        <v>0.16689977088685246</v>
      </c>
      <c r="L21" s="23">
        <f t="shared" si="4"/>
        <v>4.9021274098863345E-2</v>
      </c>
      <c r="M21" s="23">
        <f>SUM(K21:K$23)</f>
        <v>0.2613713393133727</v>
      </c>
      <c r="N21" s="23">
        <f>SUM(L21:L$23)</f>
        <v>4.9021274098863345E-2</v>
      </c>
    </row>
    <row r="22" spans="3:14" x14ac:dyDescent="0.35">
      <c r="C22" s="23">
        <v>4</v>
      </c>
      <c r="D22" s="23">
        <f t="shared" si="7"/>
        <v>99</v>
      </c>
      <c r="E22" s="23">
        <v>1</v>
      </c>
      <c r="F22" s="23">
        <f t="shared" si="5"/>
        <v>0</v>
      </c>
      <c r="G22" s="23">
        <f t="shared" si="6"/>
        <v>30.24</v>
      </c>
      <c r="H22" s="23">
        <f t="shared" si="1"/>
        <v>0</v>
      </c>
      <c r="I22" s="23">
        <f t="shared" si="2"/>
        <v>30.24</v>
      </c>
      <c r="J22" s="23">
        <f t="shared" si="0"/>
        <v>0</v>
      </c>
      <c r="K22" s="23">
        <f t="shared" si="3"/>
        <v>9.4471568426520228E-2</v>
      </c>
      <c r="L22" s="23">
        <f t="shared" si="4"/>
        <v>0</v>
      </c>
      <c r="M22" s="23">
        <f>SUM(K22:K$23)</f>
        <v>9.4471568426520228E-2</v>
      </c>
      <c r="N22" s="23">
        <f>SUM(L22:L$23)</f>
        <v>0</v>
      </c>
    </row>
    <row r="23" spans="3:14" x14ac:dyDescent="0.35">
      <c r="C23" s="23">
        <v>5</v>
      </c>
      <c r="D23" s="23">
        <v>100</v>
      </c>
      <c r="E23" s="23">
        <v>1</v>
      </c>
      <c r="F23" s="23">
        <v>0</v>
      </c>
      <c r="G23" s="23">
        <f t="shared" si="6"/>
        <v>0</v>
      </c>
      <c r="H23" s="23">
        <f t="shared" si="1"/>
        <v>0</v>
      </c>
      <c r="I23" s="23">
        <f t="shared" si="2"/>
        <v>0</v>
      </c>
      <c r="J23" s="23">
        <f t="shared" si="0"/>
        <v>0</v>
      </c>
      <c r="K23" s="23">
        <f t="shared" si="3"/>
        <v>0</v>
      </c>
      <c r="L23" s="23">
        <f t="shared" si="4"/>
        <v>0</v>
      </c>
      <c r="M23" s="23">
        <f>SUM(K23:K$23)</f>
        <v>0</v>
      </c>
      <c r="N23" s="23">
        <f>SUM(L23:L$23)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5</vt:lpstr>
      <vt:lpstr>Ejercicio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JESUS SAYNES</dc:creator>
  <cp:lastModifiedBy>RODRIGO DE JESUS SAYNES</cp:lastModifiedBy>
  <dcterms:created xsi:type="dcterms:W3CDTF">2026-04-02T05:55:44Z</dcterms:created>
  <dcterms:modified xsi:type="dcterms:W3CDTF">2026-04-18T06:36:44Z</dcterms:modified>
</cp:coreProperties>
</file>