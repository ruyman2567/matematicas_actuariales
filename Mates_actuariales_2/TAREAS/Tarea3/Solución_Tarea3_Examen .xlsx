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lva\Downloads\"/>
    </mc:Choice>
  </mc:AlternateContent>
  <xr:revisionPtr revIDLastSave="0" documentId="13_ncr:1_{207436E7-91BE-4A4E-9A87-D65A564DC16F}" xr6:coauthVersionLast="47" xr6:coauthVersionMax="47" xr10:uidLastSave="{00000000-0000-0000-0000-000000000000}"/>
  <bookViews>
    <workbookView xWindow="-8090" yWindow="-21710" windowWidth="38620" windowHeight="21100" tabRatio="500" xr2:uid="{00000000-000D-0000-FFFF-FFFF00000000}"/>
  </bookViews>
  <sheets>
    <sheet name="Soluciones" sheetId="1" r:id="rId1"/>
  </sheets>
  <calcPr calcId="191029" iterate="1" iterateCount="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1" i="1" l="1"/>
  <c r="L71" i="1"/>
  <c r="K51" i="1"/>
  <c r="L51" i="1" s="1"/>
  <c r="N50" i="1"/>
  <c r="M50" i="1"/>
  <c r="L50" i="1"/>
  <c r="K50" i="1"/>
  <c r="Q49" i="1"/>
  <c r="N49" i="1"/>
  <c r="P50" i="1" s="1"/>
  <c r="P51" i="1" s="1"/>
  <c r="M49" i="1"/>
  <c r="O50" i="1" s="1"/>
  <c r="L49" i="1"/>
  <c r="T42" i="1"/>
  <c r="M42" i="1"/>
  <c r="N42" i="1" s="1"/>
  <c r="T41" i="1"/>
  <c r="N41" i="1"/>
  <c r="M41" i="1"/>
  <c r="T40" i="1"/>
  <c r="N40" i="1"/>
  <c r="M40" i="1"/>
  <c r="T39" i="1"/>
  <c r="O39" i="1"/>
  <c r="M39" i="1"/>
  <c r="N39" i="1" s="1"/>
  <c r="Q38" i="1"/>
  <c r="M38" i="1"/>
  <c r="N38" i="1" s="1"/>
  <c r="P39" i="1" s="1"/>
  <c r="P40" i="1" s="1"/>
  <c r="P41" i="1" s="1"/>
  <c r="P42" i="1" s="1"/>
  <c r="O35" i="1"/>
  <c r="AA38" i="1" s="1"/>
  <c r="S22" i="1"/>
  <c r="R22" i="1"/>
  <c r="M22" i="1"/>
  <c r="R21" i="1"/>
  <c r="M21" i="1"/>
  <c r="S20" i="1"/>
  <c r="R20" i="1"/>
  <c r="M20" i="1"/>
  <c r="S19" i="1"/>
  <c r="R19" i="1"/>
  <c r="M19" i="1"/>
  <c r="S18" i="1"/>
  <c r="R18" i="1"/>
  <c r="O18" i="1"/>
  <c r="M18" i="1"/>
  <c r="N19" i="1" s="1"/>
  <c r="O13" i="1"/>
  <c r="N13" i="1"/>
  <c r="S21" i="1" s="1"/>
  <c r="E12" i="1"/>
  <c r="M8" i="1"/>
  <c r="M7" i="1"/>
  <c r="M6" i="1"/>
  <c r="M5" i="1"/>
  <c r="E13" i="1" s="1"/>
  <c r="E11" i="1" s="1"/>
  <c r="P4" i="1"/>
  <c r="M4" i="1"/>
  <c r="C12" i="1" s="1"/>
  <c r="R49" i="1" l="1"/>
  <c r="U41" i="1"/>
  <c r="U42" i="1"/>
  <c r="O51" i="1"/>
  <c r="Q51" i="1" s="1"/>
  <c r="R51" i="1" s="1"/>
  <c r="Q50" i="1"/>
  <c r="R50" i="1" s="1"/>
  <c r="O19" i="1"/>
  <c r="P19" i="1" s="1"/>
  <c r="N20" i="1"/>
  <c r="U18" i="1"/>
  <c r="Q39" i="1"/>
  <c r="O40" i="1"/>
  <c r="C11" i="1"/>
  <c r="S38" i="1"/>
  <c r="U38" i="1" s="1"/>
  <c r="W49" i="1"/>
  <c r="T49" i="1"/>
  <c r="U49" i="1" s="1"/>
  <c r="W50" i="1"/>
  <c r="N5" i="1"/>
  <c r="C14" i="1"/>
  <c r="T50" i="1"/>
  <c r="U50" i="1" s="1"/>
  <c r="V50" i="1" s="1"/>
  <c r="S42" i="1"/>
  <c r="P18" i="1"/>
  <c r="S41" i="1"/>
  <c r="S40" i="1"/>
  <c r="U40" i="1" s="1"/>
  <c r="S39" i="1"/>
  <c r="U39" i="1" s="1"/>
  <c r="O5" i="1"/>
  <c r="O6" i="1" s="1"/>
  <c r="O7" i="1" s="1"/>
  <c r="O8" i="1" s="1"/>
  <c r="T51" i="1"/>
  <c r="U51" i="1" s="1"/>
  <c r="AA39" i="1"/>
  <c r="C13" i="1"/>
  <c r="W39" i="1" l="1"/>
  <c r="H68" i="1"/>
  <c r="W40" i="1"/>
  <c r="U19" i="1"/>
  <c r="W52" i="1"/>
  <c r="V38" i="1"/>
  <c r="W38" i="1"/>
  <c r="X38" i="1" s="1"/>
  <c r="Q40" i="1"/>
  <c r="O41" i="1"/>
  <c r="W42" i="1"/>
  <c r="W51" i="1"/>
  <c r="W41" i="1"/>
  <c r="Q18" i="1"/>
  <c r="T18" i="1" s="1"/>
  <c r="R38" i="1"/>
  <c r="N6" i="1"/>
  <c r="P5" i="1"/>
  <c r="V49" i="1"/>
  <c r="V51" i="1"/>
  <c r="O20" i="1"/>
  <c r="P20" i="1" s="1"/>
  <c r="N21" i="1"/>
  <c r="N22" i="1" l="1"/>
  <c r="O21" i="1"/>
  <c r="P21" i="1"/>
  <c r="Q20" i="1"/>
  <c r="T20" i="1" s="1"/>
  <c r="U20" i="1"/>
  <c r="O42" i="1"/>
  <c r="Q42" i="1" s="1"/>
  <c r="Q41" i="1"/>
  <c r="R40" i="1" s="1"/>
  <c r="AA40" i="1"/>
  <c r="V47" i="1"/>
  <c r="H52" i="1" s="1"/>
  <c r="P6" i="1"/>
  <c r="N7" i="1"/>
  <c r="H49" i="1"/>
  <c r="Q19" i="1"/>
  <c r="T19" i="1" s="1"/>
  <c r="R39" i="1"/>
  <c r="V39" i="1" s="1"/>
  <c r="X39" i="1"/>
  <c r="V40" i="1" l="1"/>
  <c r="X40" i="1"/>
  <c r="AA42" i="1"/>
  <c r="R42" i="1"/>
  <c r="Q21" i="1"/>
  <c r="T21" i="1" s="1"/>
  <c r="U21" i="1"/>
  <c r="P7" i="1"/>
  <c r="E14" i="1" s="1"/>
  <c r="N8" i="1"/>
  <c r="P8" i="1" s="1"/>
  <c r="R41" i="1"/>
  <c r="AA41" i="1"/>
  <c r="AA43" i="1" s="1"/>
  <c r="H70" i="1"/>
  <c r="O22" i="1"/>
  <c r="P22" i="1"/>
  <c r="E29" i="1" l="1"/>
  <c r="V42" i="1"/>
  <c r="X42" i="1"/>
  <c r="Q22" i="1"/>
  <c r="T22" i="1" s="1"/>
  <c r="U22" i="1"/>
  <c r="W22" i="1" s="1"/>
  <c r="W20" i="1"/>
  <c r="H48" i="1"/>
  <c r="H50" i="1"/>
  <c r="V41" i="1"/>
  <c r="V35" i="1" s="1"/>
  <c r="X41" i="1"/>
  <c r="W35" i="1" l="1"/>
  <c r="H51" i="1"/>
  <c r="H53" i="1" s="1"/>
  <c r="Y39" i="1"/>
  <c r="Y40" i="1"/>
  <c r="Z40" i="1" s="1"/>
  <c r="Y41" i="1"/>
  <c r="Z41" i="1" s="1"/>
  <c r="Y42" i="1"/>
  <c r="Z42" i="1" s="1"/>
  <c r="Y38" i="1"/>
  <c r="Z38" i="1" s="1"/>
  <c r="V22" i="1"/>
  <c r="V20" i="1"/>
  <c r="V19" i="1"/>
  <c r="V21" i="1"/>
  <c r="W18" i="1"/>
  <c r="W21" i="1"/>
  <c r="E27" i="1" s="1"/>
  <c r="W19" i="1"/>
  <c r="V18" i="1"/>
  <c r="C28" i="1" l="1"/>
  <c r="C26" i="1"/>
  <c r="E28" i="1"/>
  <c r="E26" i="1"/>
  <c r="C29" i="1"/>
  <c r="C27" i="1"/>
  <c r="Z39" i="1"/>
  <c r="X35" i="1" s="1"/>
  <c r="H69" i="1"/>
</calcChain>
</file>

<file path=xl/sharedStrings.xml><?xml version="1.0" encoding="utf-8"?>
<sst xmlns="http://schemas.openxmlformats.org/spreadsheetml/2006/main" count="104" uniqueCount="75">
  <si>
    <t>Tarea 3 - Examen</t>
  </si>
  <si>
    <t>k</t>
  </si>
  <si>
    <t>x</t>
  </si>
  <si>
    <t>y</t>
  </si>
  <si>
    <r>
      <rPr>
        <b/>
        <sz val="11"/>
        <color theme="1"/>
        <rFont val="Aptos Narrow"/>
        <family val="2"/>
        <charset val="1"/>
      </rPr>
      <t>q</t>
    </r>
    <r>
      <rPr>
        <b/>
        <vertAlign val="subscript"/>
        <sz val="11"/>
        <color theme="1"/>
        <rFont val="Aptos Narrow"/>
        <family val="2"/>
        <charset val="1"/>
      </rPr>
      <t>x</t>
    </r>
  </si>
  <si>
    <r>
      <rPr>
        <b/>
        <sz val="11"/>
        <color theme="1"/>
        <rFont val="Aptos Narrow"/>
        <family val="2"/>
        <charset val="1"/>
      </rPr>
      <t>p</t>
    </r>
    <r>
      <rPr>
        <b/>
        <vertAlign val="subscript"/>
        <sz val="11"/>
        <color theme="1"/>
        <rFont val="Aptos Narrow"/>
        <family val="2"/>
        <charset val="1"/>
      </rPr>
      <t>x</t>
    </r>
  </si>
  <si>
    <r>
      <rPr>
        <b/>
        <vertAlign val="subscript"/>
        <sz val="11"/>
        <color theme="1"/>
        <rFont val="Aptos Narrow"/>
        <family val="2"/>
        <charset val="1"/>
      </rPr>
      <t>k</t>
    </r>
    <r>
      <rPr>
        <b/>
        <sz val="11"/>
        <color theme="1"/>
        <rFont val="Aptos Narrow"/>
        <family val="2"/>
        <charset val="1"/>
      </rPr>
      <t>p</t>
    </r>
    <r>
      <rPr>
        <b/>
        <vertAlign val="subscript"/>
        <sz val="11"/>
        <color theme="1"/>
        <rFont val="Aptos Narrow"/>
        <family val="2"/>
        <charset val="1"/>
      </rPr>
      <t>x</t>
    </r>
  </si>
  <si>
    <r>
      <rPr>
        <b/>
        <vertAlign val="subscript"/>
        <sz val="11"/>
        <color theme="1"/>
        <rFont val="Aptos Narrow"/>
        <family val="2"/>
        <charset val="1"/>
      </rPr>
      <t>k</t>
    </r>
    <r>
      <rPr>
        <b/>
        <sz val="11"/>
        <color theme="1"/>
        <rFont val="Aptos Narrow"/>
        <family val="2"/>
        <charset val="1"/>
      </rPr>
      <t>p</t>
    </r>
    <r>
      <rPr>
        <b/>
        <vertAlign val="subscript"/>
        <sz val="11"/>
        <color theme="1"/>
        <rFont val="Aptos Narrow"/>
        <family val="2"/>
        <charset val="1"/>
      </rPr>
      <t>y</t>
    </r>
  </si>
  <si>
    <r>
      <rPr>
        <b/>
        <vertAlign val="subscript"/>
        <sz val="11"/>
        <color theme="1"/>
        <rFont val="Aptos Narrow"/>
        <family val="2"/>
        <charset val="1"/>
      </rPr>
      <t>k</t>
    </r>
    <r>
      <rPr>
        <b/>
        <sz val="11"/>
        <color theme="1"/>
        <rFont val="Aptos Narrow"/>
        <family val="2"/>
        <charset val="1"/>
      </rPr>
      <t>p</t>
    </r>
    <r>
      <rPr>
        <b/>
        <vertAlign val="subscript"/>
        <sz val="11"/>
        <color theme="1"/>
        <rFont val="Aptos Narrow"/>
        <family val="2"/>
        <charset val="1"/>
      </rPr>
      <t>xy</t>
    </r>
  </si>
  <si>
    <r>
      <rPr>
        <vertAlign val="subscript"/>
        <sz val="11"/>
        <color theme="1"/>
        <rFont val="Aptos Narrow"/>
        <family val="2"/>
        <charset val="1"/>
      </rPr>
      <t>2</t>
    </r>
    <r>
      <rPr>
        <sz val="11"/>
        <color theme="1"/>
        <rFont val="Aptos Narrow"/>
        <family val="2"/>
        <charset val="1"/>
      </rPr>
      <t>q</t>
    </r>
    <r>
      <rPr>
        <vertAlign val="subscript"/>
        <sz val="11"/>
        <color theme="1"/>
        <rFont val="Aptos Narrow"/>
        <family val="2"/>
        <charset val="1"/>
      </rPr>
      <t>95:95</t>
    </r>
  </si>
  <si>
    <r>
      <rPr>
        <vertAlign val="subscript"/>
        <sz val="11"/>
        <color theme="1"/>
        <rFont val="Aptos Narrow"/>
        <family val="2"/>
        <charset val="1"/>
      </rPr>
      <t>3</t>
    </r>
    <r>
      <rPr>
        <sz val="11"/>
        <color theme="1"/>
        <rFont val="Aptos Narrow"/>
        <family val="2"/>
        <charset val="1"/>
      </rPr>
      <t>q</t>
    </r>
    <r>
      <rPr>
        <vertAlign val="subscript"/>
        <sz val="11"/>
        <color theme="1"/>
        <rFont val="Aptos Narrow"/>
        <family val="2"/>
        <charset val="1"/>
      </rPr>
      <t>95:95</t>
    </r>
  </si>
  <si>
    <r>
      <rPr>
        <vertAlign val="subscript"/>
        <sz val="11"/>
        <color theme="1"/>
        <rFont val="Aptos Narrow"/>
        <family val="2"/>
        <charset val="1"/>
      </rPr>
      <t>2</t>
    </r>
    <r>
      <rPr>
        <sz val="11"/>
        <color theme="1"/>
        <rFont val="Aptos Narrow"/>
        <family val="2"/>
        <charset val="1"/>
      </rPr>
      <t>|q</t>
    </r>
    <r>
      <rPr>
        <vertAlign val="subscript"/>
        <sz val="11"/>
        <color theme="1"/>
        <rFont val="Aptos Narrow"/>
        <family val="2"/>
        <charset val="1"/>
      </rPr>
      <t>95:95</t>
    </r>
  </si>
  <si>
    <r>
      <rPr>
        <sz val="11"/>
        <color theme="1"/>
        <rFont val="Aptos Narrow"/>
        <family val="2"/>
        <charset val="1"/>
      </rPr>
      <t>p</t>
    </r>
    <r>
      <rPr>
        <vertAlign val="subscript"/>
        <sz val="11"/>
        <color theme="1"/>
        <rFont val="Aptos Narrow"/>
        <family val="2"/>
        <charset val="1"/>
      </rPr>
      <t>95:95</t>
    </r>
  </si>
  <si>
    <t>r</t>
  </si>
  <si>
    <t>V</t>
  </si>
  <si>
    <t>h</t>
  </si>
  <si>
    <r>
      <rPr>
        <vertAlign val="subscript"/>
        <sz val="11"/>
        <color theme="1"/>
        <rFont val="Aptos Narrow"/>
        <family val="2"/>
        <charset val="1"/>
      </rPr>
      <t>1</t>
    </r>
    <r>
      <rPr>
        <sz val="11"/>
        <color theme="1"/>
        <rFont val="Aptos Narrow"/>
        <family val="2"/>
        <charset val="1"/>
      </rPr>
      <t>|</t>
    </r>
    <r>
      <rPr>
        <vertAlign val="subscript"/>
        <sz val="11"/>
        <color theme="1"/>
        <rFont val="Aptos Narrow"/>
        <family val="2"/>
        <charset val="1"/>
      </rPr>
      <t>2</t>
    </r>
    <r>
      <rPr>
        <sz val="11"/>
        <color theme="1"/>
        <rFont val="Aptos Narrow"/>
        <family val="2"/>
        <charset val="1"/>
      </rPr>
      <t>q</t>
    </r>
    <r>
      <rPr>
        <vertAlign val="subscript"/>
        <sz val="11"/>
        <color theme="1"/>
        <rFont val="Aptos Narrow"/>
        <family val="2"/>
        <charset val="1"/>
      </rPr>
      <t>95:95</t>
    </r>
  </si>
  <si>
    <r>
      <rPr>
        <vertAlign val="subscript"/>
        <sz val="11"/>
        <color theme="1"/>
        <rFont val="Aptos Narrow"/>
        <family val="2"/>
        <charset val="1"/>
      </rPr>
      <t>3</t>
    </r>
    <r>
      <rPr>
        <sz val="11"/>
        <color theme="1"/>
        <rFont val="Aptos Narrow"/>
        <family val="2"/>
        <charset val="1"/>
      </rPr>
      <t>p</t>
    </r>
    <r>
      <rPr>
        <vertAlign val="subscript"/>
        <sz val="11"/>
        <color theme="1"/>
        <rFont val="Aptos Narrow"/>
        <family val="2"/>
        <charset val="1"/>
      </rPr>
      <t>95:95</t>
    </r>
  </si>
  <si>
    <r>
      <rPr>
        <vertAlign val="subscript"/>
        <sz val="11"/>
        <color theme="1"/>
        <rFont val="Aptos Narrow"/>
        <family val="2"/>
        <charset val="1"/>
      </rPr>
      <t>2</t>
    </r>
    <r>
      <rPr>
        <sz val="11"/>
        <color theme="1"/>
        <rFont val="Aptos Narrow"/>
        <family val="2"/>
        <charset val="1"/>
      </rPr>
      <t>|</t>
    </r>
    <r>
      <rPr>
        <vertAlign val="subscript"/>
        <sz val="11"/>
        <color theme="1"/>
        <rFont val="Aptos Narrow"/>
        <family val="2"/>
        <charset val="1"/>
      </rPr>
      <t>2</t>
    </r>
    <r>
      <rPr>
        <sz val="11"/>
        <color theme="1"/>
        <rFont val="Aptos Narrow"/>
        <family val="2"/>
        <charset val="1"/>
      </rPr>
      <t>q</t>
    </r>
    <r>
      <rPr>
        <vertAlign val="subscript"/>
        <sz val="11"/>
        <color theme="1"/>
        <rFont val="Aptos Narrow"/>
        <family val="2"/>
        <charset val="1"/>
      </rPr>
      <t>95:95</t>
    </r>
  </si>
  <si>
    <t>E[K(95:95)]</t>
  </si>
  <si>
    <t>Por conmutados</t>
  </si>
  <si>
    <r>
      <rPr>
        <b/>
        <sz val="11"/>
        <color theme="1"/>
        <rFont val="Aptos Narrow"/>
        <family val="2"/>
        <charset val="1"/>
      </rPr>
      <t>l</t>
    </r>
    <r>
      <rPr>
        <vertAlign val="subscript"/>
        <sz val="11"/>
        <color theme="1"/>
        <rFont val="Aptos Narrow"/>
        <family val="2"/>
        <charset val="1"/>
      </rPr>
      <t>x</t>
    </r>
  </si>
  <si>
    <r>
      <rPr>
        <b/>
        <sz val="11"/>
        <color theme="1"/>
        <rFont val="Aptos Narrow"/>
        <family val="2"/>
        <charset val="1"/>
      </rPr>
      <t>l</t>
    </r>
    <r>
      <rPr>
        <vertAlign val="subscript"/>
        <sz val="11"/>
        <color theme="1"/>
        <rFont val="Aptos Narrow"/>
        <family val="2"/>
        <charset val="1"/>
      </rPr>
      <t>y</t>
    </r>
  </si>
  <si>
    <r>
      <rPr>
        <b/>
        <sz val="11"/>
        <color theme="1"/>
        <rFont val="Aptos Narrow"/>
        <family val="2"/>
        <charset val="1"/>
      </rPr>
      <t>l</t>
    </r>
    <r>
      <rPr>
        <vertAlign val="subscript"/>
        <sz val="11"/>
        <color theme="1"/>
        <rFont val="Aptos Narrow"/>
        <family val="2"/>
        <charset val="1"/>
      </rPr>
      <t>xy</t>
    </r>
  </si>
  <si>
    <r>
      <rPr>
        <b/>
        <sz val="11"/>
        <color theme="1"/>
        <rFont val="Aptos Narrow"/>
        <family val="2"/>
        <charset val="1"/>
      </rPr>
      <t>d</t>
    </r>
    <r>
      <rPr>
        <vertAlign val="subscript"/>
        <sz val="11"/>
        <color theme="1"/>
        <rFont val="Aptos Narrow"/>
        <family val="2"/>
        <charset val="1"/>
      </rPr>
      <t>xy</t>
    </r>
  </si>
  <si>
    <r>
      <rPr>
        <b/>
        <sz val="11"/>
        <color theme="1"/>
        <rFont val="Aptos Narrow"/>
        <family val="2"/>
        <charset val="1"/>
      </rPr>
      <t xml:space="preserve">V </t>
    </r>
    <r>
      <rPr>
        <vertAlign val="superscript"/>
        <sz val="11"/>
        <color theme="1"/>
        <rFont val="Aptos Narrow"/>
        <family val="2"/>
        <charset val="1"/>
      </rPr>
      <t>x+y/2 +1</t>
    </r>
  </si>
  <si>
    <r>
      <rPr>
        <b/>
        <sz val="11"/>
        <color theme="1"/>
        <rFont val="Aptos Narrow"/>
        <family val="2"/>
        <charset val="1"/>
      </rPr>
      <t xml:space="preserve">V </t>
    </r>
    <r>
      <rPr>
        <vertAlign val="superscript"/>
        <sz val="11"/>
        <color theme="1"/>
        <rFont val="Aptos Narrow"/>
        <family val="2"/>
        <charset val="1"/>
      </rPr>
      <t xml:space="preserve">x+y/2 </t>
    </r>
  </si>
  <si>
    <r>
      <rPr>
        <b/>
        <sz val="11"/>
        <color theme="1"/>
        <rFont val="Aptos Narrow"/>
        <family val="2"/>
        <charset val="1"/>
      </rPr>
      <t>C</t>
    </r>
    <r>
      <rPr>
        <vertAlign val="subscript"/>
        <sz val="11"/>
        <color theme="1"/>
        <rFont val="Aptos Narrow"/>
        <family val="2"/>
        <charset val="1"/>
      </rPr>
      <t>xy</t>
    </r>
  </si>
  <si>
    <r>
      <rPr>
        <b/>
        <sz val="11"/>
        <color theme="1"/>
        <rFont val="Aptos Narrow"/>
        <family val="2"/>
        <charset val="1"/>
      </rPr>
      <t>D</t>
    </r>
    <r>
      <rPr>
        <vertAlign val="subscript"/>
        <sz val="11"/>
        <color theme="1"/>
        <rFont val="Aptos Narrow"/>
        <family val="2"/>
        <charset val="1"/>
      </rPr>
      <t>xy</t>
    </r>
  </si>
  <si>
    <r>
      <rPr>
        <b/>
        <sz val="11"/>
        <color theme="1"/>
        <rFont val="Aptos Narrow"/>
        <family val="2"/>
        <charset val="1"/>
      </rPr>
      <t>M</t>
    </r>
    <r>
      <rPr>
        <vertAlign val="subscript"/>
        <sz val="11"/>
        <color theme="1"/>
        <rFont val="Aptos Narrow"/>
        <family val="2"/>
        <charset val="1"/>
      </rPr>
      <t>xy</t>
    </r>
  </si>
  <si>
    <r>
      <rPr>
        <b/>
        <sz val="11"/>
        <color theme="1"/>
        <rFont val="Aptos Narrow"/>
        <family val="2"/>
        <charset val="1"/>
      </rPr>
      <t>N</t>
    </r>
    <r>
      <rPr>
        <vertAlign val="subscript"/>
        <sz val="11"/>
        <color theme="1"/>
        <rFont val="Aptos Narrow"/>
        <family val="2"/>
        <charset val="1"/>
      </rPr>
      <t>xy</t>
    </r>
  </si>
  <si>
    <t>1)</t>
  </si>
  <si>
    <t>5)</t>
  </si>
  <si>
    <t>2)</t>
  </si>
  <si>
    <t>6)</t>
  </si>
  <si>
    <t>3)</t>
  </si>
  <si>
    <t>4)</t>
  </si>
  <si>
    <t>8)</t>
  </si>
  <si>
    <t>E[Z]</t>
  </si>
  <si>
    <t>Var[Z]</t>
  </si>
  <si>
    <t>E[L]</t>
  </si>
  <si>
    <r>
      <rPr>
        <b/>
        <sz val="11"/>
        <color theme="1"/>
        <rFont val="Aptos Narrow"/>
        <family val="2"/>
        <charset val="1"/>
      </rPr>
      <t>V</t>
    </r>
    <r>
      <rPr>
        <vertAlign val="superscript"/>
        <sz val="11"/>
        <color theme="1"/>
        <rFont val="Aptos Narrow"/>
        <family val="2"/>
        <charset val="1"/>
      </rPr>
      <t>k</t>
    </r>
  </si>
  <si>
    <r>
      <rPr>
        <b/>
        <sz val="11"/>
        <color theme="1"/>
        <rFont val="Aptos Narrow"/>
        <family val="2"/>
        <charset val="1"/>
      </rPr>
      <t>p</t>
    </r>
    <r>
      <rPr>
        <b/>
        <vertAlign val="subscript"/>
        <sz val="11"/>
        <color theme="1"/>
        <rFont val="Aptos Narrow"/>
        <family val="2"/>
        <charset val="1"/>
      </rPr>
      <t>y</t>
    </r>
  </si>
  <si>
    <r>
      <rPr>
        <b/>
        <vertAlign val="subscript"/>
        <sz val="11"/>
        <color theme="1"/>
        <rFont val="Aptos Narrow"/>
        <family val="2"/>
        <charset val="1"/>
      </rPr>
      <t>k</t>
    </r>
    <r>
      <rPr>
        <b/>
        <sz val="11"/>
        <color theme="1"/>
        <rFont val="Aptos Narrow"/>
        <family val="2"/>
        <charset val="1"/>
      </rPr>
      <t>|q</t>
    </r>
    <r>
      <rPr>
        <b/>
        <vertAlign val="subscript"/>
        <sz val="11"/>
        <color theme="1"/>
        <rFont val="Aptos Narrow"/>
        <family val="2"/>
        <charset val="1"/>
      </rPr>
      <t>xy</t>
    </r>
  </si>
  <si>
    <r>
      <rPr>
        <b/>
        <sz val="11"/>
        <color theme="1"/>
        <rFont val="Aptos Narrow"/>
        <family val="2"/>
        <charset val="1"/>
      </rPr>
      <t xml:space="preserve">V </t>
    </r>
    <r>
      <rPr>
        <vertAlign val="superscript"/>
        <sz val="11"/>
        <color theme="1"/>
        <rFont val="Aptos Narrow"/>
        <family val="2"/>
        <charset val="1"/>
      </rPr>
      <t>k+1</t>
    </r>
  </si>
  <si>
    <t>SA</t>
  </si>
  <si>
    <t>Z</t>
  </si>
  <si>
    <r>
      <rPr>
        <b/>
        <sz val="11"/>
        <color theme="1"/>
        <rFont val="Aptos Narrow"/>
        <family val="2"/>
        <charset val="1"/>
      </rPr>
      <t>Z</t>
    </r>
    <r>
      <rPr>
        <vertAlign val="superscript"/>
        <sz val="11"/>
        <color theme="1"/>
        <rFont val="Aptos Narrow"/>
        <family val="2"/>
        <charset val="1"/>
      </rPr>
      <t>2</t>
    </r>
  </si>
  <si>
    <r>
      <rPr>
        <b/>
        <sz val="11"/>
        <color theme="1"/>
        <rFont val="Aptos Narrow"/>
        <family val="2"/>
        <charset val="1"/>
      </rPr>
      <t>E[Z</t>
    </r>
    <r>
      <rPr>
        <vertAlign val="superscript"/>
        <sz val="11"/>
        <color theme="1"/>
        <rFont val="Aptos Narrow"/>
        <family val="2"/>
        <charset val="1"/>
      </rPr>
      <t>2</t>
    </r>
    <r>
      <rPr>
        <sz val="11"/>
        <color theme="1"/>
        <rFont val="Aptos Narrow"/>
        <family val="2"/>
        <charset val="1"/>
      </rPr>
      <t>]</t>
    </r>
  </si>
  <si>
    <t>L</t>
  </si>
  <si>
    <t>Para la reserva</t>
  </si>
  <si>
    <t>Confiabilidad de la PNU</t>
  </si>
  <si>
    <t>px+k</t>
  </si>
  <si>
    <t>py+k</t>
  </si>
  <si>
    <t>kpx</t>
  </si>
  <si>
    <t>kpy</t>
  </si>
  <si>
    <t>kpxy</t>
  </si>
  <si>
    <t>k|qxy</t>
  </si>
  <si>
    <t>Vk+1</t>
  </si>
  <si>
    <t>Pr{ la SA se pague en los primeros dos años}</t>
  </si>
  <si>
    <t>Pr{ la SA se pague en el cuarto año}</t>
  </si>
  <si>
    <t>La prima anual P, pagadera mientras el status este vigente</t>
  </si>
  <si>
    <t>La reserva al final del tercer año, con PNU</t>
  </si>
  <si>
    <t>La reserva al final del tercer año, con primas anuales P</t>
  </si>
  <si>
    <t>La prima que se tendría que cobrar si el status desaparece en el tercer año</t>
  </si>
  <si>
    <r>
      <rPr>
        <sz val="11"/>
        <color theme="1"/>
        <rFont val="Aptos Narrow"/>
        <family val="2"/>
        <charset val="1"/>
      </rPr>
      <t>El valor de L si el status desaparece en el segundo a</t>
    </r>
    <r>
      <rPr>
        <sz val="11"/>
        <color theme="1"/>
        <rFont val="Aptos Narrow"/>
        <family val="2"/>
      </rPr>
      <t>ño</t>
    </r>
  </si>
  <si>
    <t>Pr{Z&gt;PNU}</t>
  </si>
  <si>
    <t>3p95 con una fuerza de mortalidad equivalente a 3 veces la que corresponde a la tabla del final de la hoja</t>
  </si>
  <si>
    <t>Ejercicio 4 Inciso d)</t>
  </si>
  <si>
    <t>Notemos que la relacion entre la fuerza de mortalidad y _tp_x es:</t>
  </si>
  <si>
    <t>Donde:</t>
  </si>
  <si>
    <t>es la fuerza de mortalidad</t>
  </si>
  <si>
    <t>Asi para calcular la nueba proba solo debemos multiplicar por 3 la fuerza de mortalidad</t>
  </si>
  <si>
    <t>Asi solo debemos elevar al cubo la proba original:</t>
  </si>
  <si>
    <t>Proba Nueva=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</si>
</sst>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 %"/>
  </numFmts>
  <fonts count="7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vertAlign val="subscript"/>
      <sz val="11"/>
      <color theme="1"/>
      <name val="Aptos Narrow"/>
      <family val="2"/>
      <charset val="1"/>
    </font>
    <font>
      <vertAlign val="subscript"/>
      <sz val="11"/>
      <color theme="1"/>
      <name val="Aptos Narrow"/>
      <family val="2"/>
      <charset val="1"/>
    </font>
    <font>
      <vertAlign val="superscript"/>
      <sz val="11"/>
      <color theme="1"/>
      <name val="Aptos Narrow"/>
      <family val="2"/>
      <charset val="1"/>
    </font>
    <font>
      <sz val="11"/>
      <color theme="1"/>
      <name val="Aptos Narrow"/>
      <family val="2"/>
    </font>
    <font>
      <sz val="14"/>
      <color theme="1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89013336588644"/>
        <bgColor rgb="FFCCFFFF"/>
      </patternFill>
    </fill>
    <fill>
      <patternFill patternType="solid">
        <fgColor theme="9" tint="0.79989013336588644"/>
        <bgColor rgb="FFCAEEFB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11880</xdr:colOff>
      <xdr:row>1</xdr:row>
      <xdr:rowOff>1440</xdr:rowOff>
    </xdr:from>
    <xdr:to>
      <xdr:col>5</xdr:col>
      <xdr:colOff>148680</xdr:colOff>
      <xdr:row>8</xdr:row>
      <xdr:rowOff>72230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84520" y="182520"/>
          <a:ext cx="3845160" cy="135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599400</xdr:colOff>
      <xdr:row>14</xdr:row>
      <xdr:rowOff>172440</xdr:rowOff>
    </xdr:from>
    <xdr:to>
      <xdr:col>6</xdr:col>
      <xdr:colOff>54295</xdr:colOff>
      <xdr:row>24</xdr:row>
      <xdr:rowOff>1440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99400" y="2842560"/>
          <a:ext cx="4905000" cy="166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854280</xdr:colOff>
      <xdr:row>30</xdr:row>
      <xdr:rowOff>360</xdr:rowOff>
    </xdr:from>
    <xdr:to>
      <xdr:col>6</xdr:col>
      <xdr:colOff>206870</xdr:colOff>
      <xdr:row>45</xdr:row>
      <xdr:rowOff>130190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54280" y="5593320"/>
          <a:ext cx="4799520" cy="288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9000</xdr:colOff>
      <xdr:row>54</xdr:row>
      <xdr:rowOff>720</xdr:rowOff>
    </xdr:from>
    <xdr:to>
      <xdr:col>5</xdr:col>
      <xdr:colOff>246045</xdr:colOff>
      <xdr:row>66</xdr:row>
      <xdr:rowOff>17215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881640" y="10524600"/>
          <a:ext cx="3935880" cy="2240280"/>
        </a:xfrm>
        <a:prstGeom prst="rect">
          <a:avLst/>
        </a:prstGeom>
        <a:ln w="0">
          <a:noFill/>
        </a:ln>
      </xdr:spPr>
    </xdr:pic>
    <xdr:clientData/>
  </xdr:twoCellAnchor>
  <xdr:oneCellAnchor>
    <xdr:from>
      <xdr:col>11</xdr:col>
      <xdr:colOff>310417</xdr:colOff>
      <xdr:row>61</xdr:row>
      <xdr:rowOff>61303</xdr:rowOff>
    </xdr:from>
    <xdr:ext cx="1175706" cy="39953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AEB0780-8C4C-85C6-9FB4-57E41E7CB905}"/>
                </a:ext>
              </a:extLst>
            </xdr:cNvPr>
            <xdr:cNvSpPr txBox="1"/>
          </xdr:nvSpPr>
          <xdr:spPr>
            <a:xfrm>
              <a:off x="9498379" y="12692918"/>
              <a:ext cx="1175706" cy="3995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/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1">
                            <a:latin typeface="Cambria Math" panose="02040503050406030204" pitchFamily="18" charset="0"/>
                          </a:rPr>
                          <m:t>x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nary>
                          <m:nary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MX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m:rPr>
                                <m:sty m:val="p"/>
                              </m:rPr>
                              <a:rPr lang="es-MX" sz="1100" b="0" i="1">
                                <a:latin typeface="Cambria Math" panose="02040503050406030204" pitchFamily="18" charset="0"/>
                              </a:rPr>
                              <m:t>t</m:t>
                            </m:r>
                          </m:sup>
                          <m:e>
                            <m:sSub>
                              <m:sSub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x</m:t>
                                </m:r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m:rPr>
                                    <m:sty m:val="p"/>
                                  </m:r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s</m:t>
                                </m:r>
                              </m:sub>
                            </m:sSub>
                            <m:r>
                              <m:rPr>
                                <m:sty m:val="p"/>
                              </m:rPr>
                              <a:rPr lang="es-MX" sz="1100" b="0" i="1">
                                <a:latin typeface="Cambria Math" panose="02040503050406030204" pitchFamily="18" charset="0"/>
                              </a:rPr>
                              <m:t>ds</m:t>
                            </m:r>
                          </m:e>
                        </m:nary>
                      </m:sup>
                    </m:sSup>
                  </m:oMath>
                </m:oMathPara>
              </a14:m>
              <a:endParaRPr lang="es-MX" sz="1100" b="0" i="1">
                <a:latin typeface="Cambria Math" panose="02040503050406030204" pitchFamily="18" charset="0"/>
              </a:endParaRPr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AEB0780-8C4C-85C6-9FB4-57E41E7CB905}"/>
                </a:ext>
              </a:extLst>
            </xdr:cNvPr>
            <xdr:cNvSpPr txBox="1"/>
          </xdr:nvSpPr>
          <xdr:spPr>
            <a:xfrm>
              <a:off x="9498379" y="12692918"/>
              <a:ext cx="1175706" cy="3995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〖_𝑡〗𝑝_x=𝑒^∫24_0^t▒〖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𝜇_(</a:t>
              </a:r>
              <a:r>
                <a:rPr lang="es-MX" sz="1100" b="0" i="0">
                  <a:latin typeface="Cambria Math" panose="02040503050406030204" pitchFamily="18" charset="0"/>
                </a:rPr>
                <a:t>x+s) ds〗</a:t>
              </a:r>
              <a:endParaRPr lang="es-MX" sz="1100" b="0" i="1">
                <a:latin typeface="Cambria Math" panose="02040503050406030204" pitchFamily="18" charset="0"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613019</xdr:colOff>
      <xdr:row>63</xdr:row>
      <xdr:rowOff>176824</xdr:rowOff>
    </xdr:from>
    <xdr:ext cx="58517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B7C8B13-4256-A47C-06A0-C08842D198FF}"/>
                </a:ext>
              </a:extLst>
            </xdr:cNvPr>
            <xdr:cNvSpPr txBox="1"/>
          </xdr:nvSpPr>
          <xdr:spPr>
            <a:xfrm>
              <a:off x="9078057" y="13189439"/>
              <a:ext cx="58517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1">
                            <a:latin typeface="Cambria Math" panose="02040503050406030204" pitchFamily="18" charset="0"/>
                          </a:rPr>
                          <m:t>x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m:rPr>
                            <m:sty m:val="p"/>
                          </m:rPr>
                          <a:rPr lang="es-MX" sz="1100" b="0" i="1">
                            <a:latin typeface="Cambria Math" panose="02040503050406030204" pitchFamily="18" charset="0"/>
                          </a:rPr>
                          <m:t>s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B7C8B13-4256-A47C-06A0-C08842D198FF}"/>
                </a:ext>
              </a:extLst>
            </xdr:cNvPr>
            <xdr:cNvSpPr txBox="1"/>
          </xdr:nvSpPr>
          <xdr:spPr>
            <a:xfrm>
              <a:off x="9078057" y="13189439"/>
              <a:ext cx="58517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𝜇_(</a:t>
              </a:r>
              <a:r>
                <a:rPr lang="es-MX" sz="1100" b="0" i="0">
                  <a:latin typeface="Cambria Math" panose="02040503050406030204" pitchFamily="18" charset="0"/>
                </a:rPr>
                <a:t>x+s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1103190</xdr:colOff>
      <xdr:row>67</xdr:row>
      <xdr:rowOff>56418</xdr:rowOff>
    </xdr:from>
    <xdr:ext cx="2840714" cy="64998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C0D560C-920F-32B9-F78C-90C010C380DD}"/>
                </a:ext>
              </a:extLst>
            </xdr:cNvPr>
            <xdr:cNvSpPr txBox="1"/>
          </xdr:nvSpPr>
          <xdr:spPr>
            <a:xfrm>
              <a:off x="8444767" y="13831033"/>
              <a:ext cx="2840714" cy="6499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Pre>
                    <m:sPre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PrePr>
                    <m:sub>
                      <m:r>
                        <a:rPr lang="en-US" sz="1100" i="1">
                          <a:latin typeface="Cambria Math" panose="02040503050406030204" pitchFamily="18" charset="0"/>
                        </a:rPr>
                        <m:t>𝑡</m:t>
                      </m:r>
                    </m:sub>
                    <m:sup/>
                    <m:e>
                      <m:r>
                        <a:rPr lang="en-US" sz="1100" i="1">
                          <a:latin typeface="Cambria Math" panose="02040503050406030204" pitchFamily="18" charset="0"/>
                        </a:rPr>
                        <m:t>_</m:t>
                      </m:r>
                      <m:r>
                        <m:rPr>
                          <m:sty m:val="p"/>
                        </m:rPr>
                        <a:rPr lang="es-MX" sz="1100" b="0" i="1">
                          <a:latin typeface="Cambria Math" panose="02040503050406030204" pitchFamily="18" charset="0"/>
                        </a:rPr>
                        <m:t>p</m:t>
                      </m:r>
                    </m:e>
                  </m:sPre>
                  <m:sSup>
                    <m:sSup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MX" sz="1100" b="0" i="1">
                          <a:latin typeface="Cambria Math" panose="02040503050406030204" pitchFamily="18" charset="0"/>
                        </a:rPr>
                        <m:t>′</m:t>
                      </m:r>
                    </m:sup>
                  </m:sSup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−</m:t>
                      </m:r>
                      <m:nary>
                        <m:nary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i="1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  <m:sup>
                          <m:r>
                            <a:rPr lang="en-US" sz="1100" i="1">
                              <a:latin typeface="Cambria Math" panose="02040503050406030204" pitchFamily="18" charset="0"/>
                            </a:rPr>
                            <m:t>𝑡</m:t>
                          </m:r>
                        </m:sup>
                        <m:e>
                          <m:r>
                            <a:rPr lang="en-US" sz="1100" i="1">
                              <a:latin typeface="Cambria Math" panose="02040503050406030204" pitchFamily="18" charset="0"/>
                            </a:rPr>
                            <m:t>3</m:t>
                          </m:r>
                          <m:sSub>
                            <m:sSub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100" i="1">
                                  <a:latin typeface="Cambria Math" panose="02040503050406030204" pitchFamily="18" charset="0"/>
                                </a:rPr>
                                <m:t>𝜇</m:t>
                              </m:r>
                            </m:e>
                            <m:sub>
                              <m:r>
                                <a:rPr lang="en-US" sz="110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  <m:r>
                                <a:rPr lang="en-US" sz="1100" i="1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r>
                                <a:rPr lang="en-US" sz="1100" i="1">
                                  <a:latin typeface="Cambria Math" panose="02040503050406030204" pitchFamily="18" charset="0"/>
                                </a:rPr>
                                <m:t>𝑠</m:t>
                              </m:r>
                            </m:sub>
                          </m:sSub>
                          <m:r>
                            <a:rPr lang="en-US" sz="1100" i="1">
                              <a:latin typeface="Cambria Math" panose="02040503050406030204" pitchFamily="18" charset="0"/>
                            </a:rPr>
                            <m:t>𝑑𝑠</m:t>
                          </m:r>
                        </m:e>
                      </m:nary>
                    </m:sup>
                  </m:sSup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d>
                        <m:d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i="1">
                                  <a:latin typeface="Cambria Math" panose="02040503050406030204" pitchFamily="18" charset="0"/>
                                </a:rPr>
                                <m:t>𝑒</m:t>
                              </m:r>
                            </m:e>
                            <m:sup>
                              <m:r>
                                <a:rPr lang="en-US" sz="1100" i="1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nary>
                                <m:naryPr>
                                  <m:ctrlPr>
                                    <a:rPr lang="en-US" sz="1100" i="1">
                                      <a:latin typeface="Cambria Math" panose="02040503050406030204" pitchFamily="18" charset="0"/>
                                    </a:rPr>
                                  </m:ctrlPr>
                                </m:naryPr>
                                <m:sub>
                                  <m:r>
                                    <a:rPr lang="en-US" sz="1100" i="1">
                                      <a:latin typeface="Cambria Math" panose="02040503050406030204" pitchFamily="18" charset="0"/>
                                    </a:rPr>
                                    <m:t>0</m:t>
                                  </m:r>
                                </m:sub>
                                <m:sup>
                                  <m:r>
                                    <a:rPr lang="en-US" sz="1100" i="1">
                                      <a:latin typeface="Cambria Math" panose="02040503050406030204" pitchFamily="18" charset="0"/>
                                    </a:rPr>
                                    <m:t>𝑡</m:t>
                                  </m:r>
                                </m:sup>
                                <m:e>
                                  <m:sSub>
                                    <m:sSubPr>
                                      <m:ctrlPr>
                                        <a:rPr lang="en-US" sz="1100" i="1">
                                          <a:latin typeface="Cambria Math" panose="02040503050406030204" pitchFamily="18" charset="0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latin typeface="Cambria Math" panose="02040503050406030204" pitchFamily="18" charset="0"/>
                                        </a:rPr>
                                        <m:t>𝜇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latin typeface="Cambria Math" panose="02040503050406030204" pitchFamily="18" charset="0"/>
                                        </a:rPr>
                                        <m:t>𝑥</m:t>
                                      </m:r>
                                      <m:r>
                                        <a:rPr lang="en-US" sz="1100" i="1">
                                          <a:latin typeface="Cambria Math" panose="02040503050406030204" pitchFamily="18" charset="0"/>
                                        </a:rPr>
                                        <m:t>+</m:t>
                                      </m:r>
                                      <m:r>
                                        <a:rPr lang="en-US" sz="1100" i="1">
                                          <a:latin typeface="Cambria Math" panose="02040503050406030204" pitchFamily="18" charset="0"/>
                                        </a:rPr>
                                        <m:t>𝑠</m:t>
                                      </m:r>
                                    </m:sub>
                                  </m:sSub>
                                  <m:r>
                                    <a:rPr lang="en-US" sz="1100" i="1">
                                      <a:latin typeface="Cambria Math" panose="02040503050406030204" pitchFamily="18" charset="0"/>
                                    </a:rPr>
                                    <m:t>𝑑𝑠</m:t>
                                  </m:r>
                                </m:e>
                              </m:nary>
                            </m:sup>
                          </m:sSup>
                        </m:e>
                      </m:d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i="1">
                          <a:latin typeface="Cambria Math" panose="02040503050406030204" pitchFamily="18" charset="0"/>
                        </a:rPr>
                        <m:t>(</m:t>
                      </m:r>
                    </m:e>
                    <m:sub>
                      <m:r>
                        <a:rPr lang="en-US" sz="1100" i="1"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sSup>
                    <m:s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i="1">
                              <a:latin typeface="Cambria Math" panose="02040503050406030204" pitchFamily="18" charset="0"/>
                            </a:rPr>
                            <m:t>𝑝</m:t>
                          </m:r>
                        </m:e>
                        <m:sub>
                          <m:r>
                            <a:rPr lang="en-US" sz="1100" i="1">
                              <a:latin typeface="Cambria Math" panose="02040503050406030204" pitchFamily="18" charset="0"/>
                            </a:rPr>
                            <m:t>𝑥</m:t>
                          </m:r>
                        </m:sub>
                      </m:sSub>
                    </m:e>
                    <m:sup>
                      <m:r>
                        <a:rPr lang="en-US" sz="1100" i="1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s-MX" sz="1100"/>
                <a:t>)</a:t>
              </a:r>
            </a:p>
            <a:p>
              <a:endParaRPr lang="es-MX" sz="1100"/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C0D560C-920F-32B9-F78C-90C010C380DD}"/>
                </a:ext>
              </a:extLst>
            </xdr:cNvPr>
            <xdr:cNvSpPr txBox="1"/>
          </xdr:nvSpPr>
          <xdr:spPr>
            <a:xfrm>
              <a:off x="8444767" y="13831033"/>
              <a:ext cx="2840714" cy="6499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(_𝑡^)_</a:t>
              </a:r>
              <a:r>
                <a:rPr lang="es-MX" sz="1100" b="0" i="0">
                  <a:latin typeface="Cambria Math" panose="02040503050406030204" pitchFamily="18" charset="0"/>
                </a:rPr>
                <a:t>p </a:t>
              </a:r>
              <a:r>
                <a:rPr lang="en-US" sz="1100" i="0">
                  <a:latin typeface="Cambria Math" panose="02040503050406030204" pitchFamily="18" charset="0"/>
                </a:rPr>
                <a:t>𝑥</a:t>
              </a:r>
              <a:r>
                <a:rPr lang="es-MX" sz="1100" b="0" i="0">
                  <a:latin typeface="Cambria Math" panose="02040503050406030204" pitchFamily="18" charset="0"/>
                </a:rPr>
                <a:t>^′</a:t>
              </a:r>
              <a:r>
                <a:rPr lang="en-US" sz="1100" i="0">
                  <a:latin typeface="Cambria Math" panose="02040503050406030204" pitchFamily="18" charset="0"/>
                </a:rPr>
                <a:t>=𝑒^(−∫24_0^𝑡▒〖3𝜇_(𝑥+𝑠) 𝑑𝑠〗)=(𝑒^(−∫24_0^𝑡▒〖𝜇_(𝑥+𝑠) 𝑑𝑠〗) )^3=(_𝑡 〖𝑝_𝑥〗^3</a:t>
              </a:r>
              <a:r>
                <a:rPr lang="es-MX" sz="1100"/>
                <a:t>)</a:t>
              </a:r>
            </a:p>
            <a:p>
              <a:endParaRPr lang="es-MX" sz="1100"/>
            </a:p>
            <a:p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tabSelected="1" topLeftCell="A49" zoomScale="130" zoomScaleNormal="130" workbookViewId="0">
      <selection activeCell="D52" sqref="D52"/>
    </sheetView>
  </sheetViews>
  <sheetFormatPr defaultColWidth="10.85546875" defaultRowHeight="15" x14ac:dyDescent="0.25"/>
  <cols>
    <col min="1" max="1" width="10.85546875" style="4"/>
    <col min="2" max="2" width="13.140625" style="4" customWidth="1"/>
    <col min="3" max="4" width="10.85546875" style="4"/>
    <col min="5" max="5" width="11.42578125" style="4" customWidth="1"/>
    <col min="6" max="6" width="10.85546875" style="4"/>
    <col min="7" max="7" width="20.42578125" style="4" customWidth="1"/>
    <col min="8" max="8" width="12" style="4" bestFit="1" customWidth="1"/>
    <col min="9" max="9" width="10.85546875" style="4"/>
    <col min="10" max="10" width="16.85546875" style="4" customWidth="1"/>
    <col min="11" max="11" width="13" style="4" customWidth="1"/>
    <col min="12" max="12" width="13.42578125" style="4" customWidth="1"/>
    <col min="13" max="16384" width="10.85546875" style="4"/>
  </cols>
  <sheetData>
    <row r="1" spans="1:16" x14ac:dyDescent="0.25">
      <c r="A1" s="3" t="s">
        <v>0</v>
      </c>
      <c r="B1" s="3"/>
      <c r="C1" s="3"/>
    </row>
    <row r="3" spans="1:16" ht="18" x14ac:dyDescent="0.35">
      <c r="I3" s="5" t="s">
        <v>1</v>
      </c>
      <c r="J3" s="5" t="s">
        <v>2</v>
      </c>
      <c r="K3" s="5" t="s">
        <v>3</v>
      </c>
      <c r="L3" s="5" t="s">
        <v>4</v>
      </c>
      <c r="M3" s="5" t="s">
        <v>5</v>
      </c>
      <c r="N3" s="6" t="s">
        <v>6</v>
      </c>
      <c r="O3" s="6" t="s">
        <v>7</v>
      </c>
      <c r="P3" s="6" t="s">
        <v>8</v>
      </c>
    </row>
    <row r="4" spans="1:16" x14ac:dyDescent="0.25">
      <c r="I4" s="4">
        <v>0</v>
      </c>
      <c r="J4" s="4">
        <v>95</v>
      </c>
      <c r="K4" s="4">
        <v>95</v>
      </c>
      <c r="L4" s="4">
        <v>0.09</v>
      </c>
      <c r="M4" s="4">
        <f>1-L4</f>
        <v>0.91</v>
      </c>
      <c r="N4" s="4">
        <v>1</v>
      </c>
      <c r="O4" s="4">
        <v>1</v>
      </c>
      <c r="P4" s="4">
        <f>N4*O4</f>
        <v>1</v>
      </c>
    </row>
    <row r="5" spans="1:16" x14ac:dyDescent="0.25">
      <c r="I5" s="4">
        <v>1</v>
      </c>
      <c r="J5" s="4">
        <v>96</v>
      </c>
      <c r="K5" s="4">
        <v>96</v>
      </c>
      <c r="L5" s="4">
        <v>0.1</v>
      </c>
      <c r="M5" s="4">
        <f>1-L5</f>
        <v>0.9</v>
      </c>
      <c r="N5" s="4">
        <f>N4*M4</f>
        <v>0.91</v>
      </c>
      <c r="O5" s="4">
        <f>O4*M4</f>
        <v>0.91</v>
      </c>
      <c r="P5" s="4">
        <f>N5*O5</f>
        <v>0.82810000000000006</v>
      </c>
    </row>
    <row r="6" spans="1:16" x14ac:dyDescent="0.25">
      <c r="I6" s="4">
        <v>2</v>
      </c>
      <c r="J6" s="4">
        <v>97</v>
      </c>
      <c r="K6" s="4">
        <v>97</v>
      </c>
      <c r="L6" s="4">
        <v>0.11</v>
      </c>
      <c r="M6" s="4">
        <f>1-L6</f>
        <v>0.89</v>
      </c>
      <c r="N6" s="4">
        <f>N5*M5</f>
        <v>0.81900000000000006</v>
      </c>
      <c r="O6" s="4">
        <f>O5*M5</f>
        <v>0.81900000000000006</v>
      </c>
      <c r="P6" s="4">
        <f>N6*O6</f>
        <v>0.67076100000000005</v>
      </c>
    </row>
    <row r="7" spans="1:16" x14ac:dyDescent="0.25">
      <c r="I7" s="4">
        <v>3</v>
      </c>
      <c r="J7" s="4">
        <v>98</v>
      </c>
      <c r="K7" s="4">
        <v>98</v>
      </c>
      <c r="L7" s="4">
        <v>0.12</v>
      </c>
      <c r="M7" s="4">
        <f>1-L7</f>
        <v>0.88</v>
      </c>
      <c r="N7" s="4">
        <f>N6*M6</f>
        <v>0.72891000000000006</v>
      </c>
      <c r="O7" s="4">
        <f>O6*M6</f>
        <v>0.72891000000000006</v>
      </c>
      <c r="P7" s="4">
        <f>N7*O7</f>
        <v>0.53130978810000007</v>
      </c>
    </row>
    <row r="8" spans="1:16" x14ac:dyDescent="0.25">
      <c r="I8" s="4">
        <v>4</v>
      </c>
      <c r="J8" s="4">
        <v>99</v>
      </c>
      <c r="K8" s="4">
        <v>99</v>
      </c>
      <c r="L8" s="4">
        <v>1</v>
      </c>
      <c r="M8" s="4">
        <f>1-L8</f>
        <v>0</v>
      </c>
      <c r="N8" s="4">
        <f>N7*M7</f>
        <v>0.64144080000000003</v>
      </c>
      <c r="O8" s="4">
        <f>O7*M7</f>
        <v>0.64144080000000003</v>
      </c>
      <c r="P8" s="4">
        <f>N8*O8</f>
        <v>0.41144629990464004</v>
      </c>
    </row>
    <row r="11" spans="1:16" ht="18" x14ac:dyDescent="0.35">
      <c r="B11" s="7" t="s">
        <v>9</v>
      </c>
      <c r="C11" s="8">
        <f>1-(M4*M5*M4*M5)</f>
        <v>0.32923899999999984</v>
      </c>
      <c r="D11" s="7" t="s">
        <v>10</v>
      </c>
      <c r="E11" s="8">
        <f>1-E13</f>
        <v>0.46869021189999993</v>
      </c>
    </row>
    <row r="12" spans="1:16" ht="18" x14ac:dyDescent="0.35">
      <c r="B12" s="7" t="s">
        <v>11</v>
      </c>
      <c r="C12" s="8">
        <f>(M4*M5*M4*M5)-(M4*M5*M6*M4*M5*M6)</f>
        <v>0.13945121190000009</v>
      </c>
      <c r="D12" s="4" t="s">
        <v>12</v>
      </c>
      <c r="E12" s="8">
        <f>M4*M4</f>
        <v>0.82810000000000006</v>
      </c>
      <c r="K12" s="9" t="s">
        <v>13</v>
      </c>
      <c r="L12" s="9" t="s">
        <v>2</v>
      </c>
      <c r="M12" s="9" t="s">
        <v>3</v>
      </c>
      <c r="N12" s="9" t="s">
        <v>14</v>
      </c>
      <c r="O12" s="9" t="s">
        <v>15</v>
      </c>
    </row>
    <row r="13" spans="1:16" ht="18" x14ac:dyDescent="0.35">
      <c r="B13" s="7" t="s">
        <v>16</v>
      </c>
      <c r="C13" s="8">
        <f>(M4*M4)-(M4*M5*M6*M4*M5*M6)</f>
        <v>0.29679021189999999</v>
      </c>
      <c r="D13" s="7" t="s">
        <v>17</v>
      </c>
      <c r="E13" s="8">
        <f>(M4*M5*M6)*(M4*M5*M6)</f>
        <v>0.53130978810000007</v>
      </c>
      <c r="K13" s="10">
        <v>0.08</v>
      </c>
      <c r="L13" s="11">
        <v>95</v>
      </c>
      <c r="M13" s="11">
        <v>95</v>
      </c>
      <c r="N13" s="11">
        <f>1/(1+K13)</f>
        <v>0.92592592592592582</v>
      </c>
      <c r="O13" s="11">
        <f>(1/N18)</f>
        <v>0.01</v>
      </c>
    </row>
    <row r="14" spans="1:16" ht="18" x14ac:dyDescent="0.35">
      <c r="B14" s="7" t="s">
        <v>18</v>
      </c>
      <c r="C14" s="8">
        <f>(M4*M5*M4*M5)-(M4*M5*M6*M7*M4*M5*M6*M7)</f>
        <v>0.25931470009536012</v>
      </c>
      <c r="D14" s="4" t="s">
        <v>19</v>
      </c>
      <c r="E14" s="8">
        <f>SUM(P5:P8)</f>
        <v>2.4416170880046404</v>
      </c>
    </row>
    <row r="16" spans="1:16" x14ac:dyDescent="0.25">
      <c r="J16" s="4" t="s">
        <v>20</v>
      </c>
    </row>
    <row r="17" spans="2:23" ht="18" x14ac:dyDescent="0.35">
      <c r="J17" s="5" t="s">
        <v>1</v>
      </c>
      <c r="K17" s="5" t="s">
        <v>2</v>
      </c>
      <c r="L17" s="5" t="s">
        <v>4</v>
      </c>
      <c r="M17" s="5" t="s">
        <v>5</v>
      </c>
      <c r="N17" s="5" t="s">
        <v>21</v>
      </c>
      <c r="O17" s="5" t="s">
        <v>22</v>
      </c>
      <c r="P17" s="5" t="s">
        <v>23</v>
      </c>
      <c r="Q17" s="5" t="s">
        <v>24</v>
      </c>
      <c r="R17" s="5" t="s">
        <v>25</v>
      </c>
      <c r="S17" s="5" t="s">
        <v>26</v>
      </c>
      <c r="T17" s="5" t="s">
        <v>27</v>
      </c>
      <c r="U17" s="5" t="s">
        <v>28</v>
      </c>
      <c r="V17" s="5" t="s">
        <v>29</v>
      </c>
      <c r="W17" s="5" t="s">
        <v>30</v>
      </c>
    </row>
    <row r="18" spans="2:23" x14ac:dyDescent="0.25">
      <c r="J18" s="4">
        <v>0</v>
      </c>
      <c r="K18" s="4">
        <v>95</v>
      </c>
      <c r="L18" s="4">
        <v>0.09</v>
      </c>
      <c r="M18" s="4">
        <f>1-L18</f>
        <v>0.91</v>
      </c>
      <c r="N18" s="4">
        <v>100</v>
      </c>
      <c r="O18" s="4">
        <f>N18</f>
        <v>100</v>
      </c>
      <c r="P18" s="4">
        <f>$O$13*N18*O18</f>
        <v>100</v>
      </c>
      <c r="Q18" s="4">
        <f>P18-P19</f>
        <v>17.189999999999998</v>
      </c>
      <c r="R18" s="4">
        <f>($N$13)^((($K18+$K18))/2 +1)</f>
        <v>6.1847118912476825E-4</v>
      </c>
      <c r="S18" s="4">
        <f>($N$13)^((($K18+$K18))/2 )</f>
        <v>6.6794888425474963E-4</v>
      </c>
      <c r="T18" s="4">
        <f>$R18*$Q18</f>
        <v>1.0631519741054765E-2</v>
      </c>
      <c r="U18" s="4">
        <f>$S18*$P18</f>
        <v>6.6794888425474958E-2</v>
      </c>
      <c r="V18" s="4">
        <f>SUM(T18:$T$22)</f>
        <v>5.1624904113303061E-2</v>
      </c>
      <c r="W18" s="4">
        <f>SUM($U18:U$22)</f>
        <v>0.20479478821432062</v>
      </c>
    </row>
    <row r="19" spans="2:23" x14ac:dyDescent="0.25">
      <c r="J19" s="4">
        <v>1</v>
      </c>
      <c r="K19" s="4">
        <v>96</v>
      </c>
      <c r="L19" s="4">
        <v>0.1</v>
      </c>
      <c r="M19" s="4">
        <f>1-L19</f>
        <v>0.9</v>
      </c>
      <c r="N19" s="4">
        <f>N18*M18</f>
        <v>91</v>
      </c>
      <c r="O19" s="4">
        <f>N19</f>
        <v>91</v>
      </c>
      <c r="P19" s="4">
        <f>$O$13*N19*O19</f>
        <v>82.81</v>
      </c>
      <c r="Q19" s="4">
        <f>P19-P20</f>
        <v>15.733899999999991</v>
      </c>
      <c r="R19" s="4">
        <f>($N$13)^((($K19+$K19))/2 +1)</f>
        <v>5.7265850844885949E-4</v>
      </c>
      <c r="S19" s="4">
        <f>($N$13)^((($K19+$K19))/2 )</f>
        <v>6.1847118912476825E-4</v>
      </c>
      <c r="T19" s="4">
        <f>$R19*$Q19</f>
        <v>9.0101517060835051E-3</v>
      </c>
      <c r="U19" s="4">
        <f>$S19*$P19</f>
        <v>5.1215599171422058E-2</v>
      </c>
      <c r="V19" s="4">
        <f>SUM(T19:$T$22)</f>
        <v>4.0993384372248295E-2</v>
      </c>
      <c r="W19" s="4">
        <f>SUM($U19:U$22)</f>
        <v>0.13799989978884569</v>
      </c>
    </row>
    <row r="20" spans="2:23" x14ac:dyDescent="0.25">
      <c r="J20" s="4">
        <v>2</v>
      </c>
      <c r="K20" s="4">
        <v>97</v>
      </c>
      <c r="L20" s="4">
        <v>0.11</v>
      </c>
      <c r="M20" s="4">
        <f>1-L20</f>
        <v>0.89</v>
      </c>
      <c r="N20" s="4">
        <f>N19*M19</f>
        <v>81.900000000000006</v>
      </c>
      <c r="O20" s="4">
        <f>N20</f>
        <v>81.900000000000006</v>
      </c>
      <c r="P20" s="4">
        <f>$O$13*N20*O20</f>
        <v>67.076100000000011</v>
      </c>
      <c r="Q20" s="4">
        <f>P20-P21</f>
        <v>13.945121190000002</v>
      </c>
      <c r="R20" s="4">
        <f>($N$13)^((($K20+$K20))/2 +1)</f>
        <v>5.3023935967486981E-4</v>
      </c>
      <c r="S20" s="4">
        <f>($N$13)^((($K20+$K20))/2 )</f>
        <v>5.7265850844885949E-4</v>
      </c>
      <c r="T20" s="4">
        <f>$R20*$Q20</f>
        <v>7.3942521303740592E-3</v>
      </c>
      <c r="U20" s="4">
        <f>$S20*$P20</f>
        <v>3.8411699378566554E-2</v>
      </c>
      <c r="V20" s="4">
        <f>SUM(T20:$T$22)</f>
        <v>3.198323266616479E-2</v>
      </c>
      <c r="W20" s="4">
        <f>SUM($U20:U$22)</f>
        <v>8.6784300617423621E-2</v>
      </c>
    </row>
    <row r="21" spans="2:23" x14ac:dyDescent="0.25">
      <c r="J21" s="4">
        <v>3</v>
      </c>
      <c r="K21" s="4">
        <v>98</v>
      </c>
      <c r="L21" s="4">
        <v>0.12</v>
      </c>
      <c r="M21" s="4">
        <f>1-L21</f>
        <v>0.88</v>
      </c>
      <c r="N21" s="4">
        <f>N20*M20</f>
        <v>72.891000000000005</v>
      </c>
      <c r="O21" s="4">
        <f>N21</f>
        <v>72.891000000000005</v>
      </c>
      <c r="P21" s="4">
        <f>$O$13*N21*O21</f>
        <v>53.130978810000009</v>
      </c>
      <c r="Q21" s="4">
        <f>P21-P22</f>
        <v>11.986348819536005</v>
      </c>
      <c r="R21" s="4">
        <f>($N$13)^((($K21+$K21))/2 +1)</f>
        <v>4.9096237006932388E-4</v>
      </c>
      <c r="S21" s="4">
        <f>($N$13)^((($K21+$K21))/2 )</f>
        <v>5.3023935967486981E-4</v>
      </c>
      <c r="T21" s="4">
        <f>$R21*$Q21</f>
        <v>5.8848462249170399E-3</v>
      </c>
      <c r="U21" s="4">
        <f>$S21*$P21</f>
        <v>2.817213618311348E-2</v>
      </c>
      <c r="V21" s="4">
        <f>SUM(T21:$T$22)</f>
        <v>2.4588980535790731E-2</v>
      </c>
      <c r="W21" s="4">
        <f>SUM($U21:U$22)</f>
        <v>4.8372601238857074E-2</v>
      </c>
    </row>
    <row r="22" spans="2:23" x14ac:dyDescent="0.25">
      <c r="J22" s="4">
        <v>4</v>
      </c>
      <c r="K22" s="4">
        <v>99</v>
      </c>
      <c r="L22" s="4">
        <v>1</v>
      </c>
      <c r="M22" s="4">
        <f>1-L22</f>
        <v>0</v>
      </c>
      <c r="N22" s="4">
        <f>N21*M21</f>
        <v>64.144080000000002</v>
      </c>
      <c r="O22" s="4">
        <f>N22</f>
        <v>64.144080000000002</v>
      </c>
      <c r="P22" s="4">
        <f>$O$13*N22*O22</f>
        <v>41.144629990464004</v>
      </c>
      <c r="Q22" s="4">
        <f>P22-P23</f>
        <v>41.144629990464004</v>
      </c>
      <c r="R22" s="4">
        <f>($N$13)^((($K22+$K22))/2 +1)</f>
        <v>4.5459478710122578E-4</v>
      </c>
      <c r="S22" s="4">
        <f>($N$13)^((($K22+$K22))/2 )</f>
        <v>4.9096237006932388E-4</v>
      </c>
      <c r="T22" s="4">
        <f>$R22*$Q22</f>
        <v>1.8704134310873692E-2</v>
      </c>
      <c r="U22" s="4">
        <f>$S22*$P22</f>
        <v>2.0200465055743591E-2</v>
      </c>
      <c r="V22" s="4">
        <f>SUM(T22:$T$22)</f>
        <v>1.8704134310873692E-2</v>
      </c>
      <c r="W22" s="4">
        <f>SUM($U22:U$22)</f>
        <v>2.0200465055743591E-2</v>
      </c>
    </row>
    <row r="26" spans="2:23" x14ac:dyDescent="0.25">
      <c r="B26" s="4" t="s">
        <v>31</v>
      </c>
      <c r="C26" s="8">
        <f>100 * (V18/U18)</f>
        <v>77.288704765039768</v>
      </c>
      <c r="D26" s="4" t="s">
        <v>32</v>
      </c>
      <c r="E26" s="8">
        <f>100 * (W18/U18)</f>
        <v>306.60248567196311</v>
      </c>
    </row>
    <row r="27" spans="2:23" x14ac:dyDescent="0.25">
      <c r="B27" s="4" t="s">
        <v>33</v>
      </c>
      <c r="C27" s="8">
        <f>100 * (V20/U18)</f>
        <v>47.882754833626876</v>
      </c>
      <c r="D27" s="4" t="s">
        <v>34</v>
      </c>
      <c r="E27" s="8">
        <f>100 * (W21/U18)</f>
        <v>72.419615301592771</v>
      </c>
    </row>
    <row r="28" spans="2:23" x14ac:dyDescent="0.25">
      <c r="B28" s="4" t="s">
        <v>35</v>
      </c>
      <c r="C28" s="8">
        <f>100 * ((V18-V21)/U18)</f>
        <v>40.476036736968446</v>
      </c>
      <c r="D28" s="4" t="s">
        <v>34</v>
      </c>
      <c r="E28" s="8">
        <f>100*((W18-W21)/U18)</f>
        <v>234.18287037037041</v>
      </c>
    </row>
    <row r="29" spans="2:23" x14ac:dyDescent="0.25">
      <c r="B29" s="4" t="s">
        <v>36</v>
      </c>
      <c r="C29" s="8">
        <f>100*((V20-V21)/U18)</f>
        <v>11.070086805555556</v>
      </c>
      <c r="D29" s="4" t="s">
        <v>37</v>
      </c>
      <c r="E29" s="8">
        <f>100*(U21/U18)</f>
        <v>42.177083976337457</v>
      </c>
    </row>
    <row r="34" spans="2:27" x14ac:dyDescent="0.25">
      <c r="L34" s="9" t="s">
        <v>13</v>
      </c>
      <c r="M34" s="9" t="s">
        <v>2</v>
      </c>
      <c r="N34" s="9" t="s">
        <v>3</v>
      </c>
      <c r="O34" s="9" t="s">
        <v>14</v>
      </c>
      <c r="V34" s="9" t="s">
        <v>38</v>
      </c>
      <c r="W34" s="9" t="s">
        <v>39</v>
      </c>
      <c r="X34" s="9" t="s">
        <v>40</v>
      </c>
    </row>
    <row r="35" spans="2:27" x14ac:dyDescent="0.25">
      <c r="L35" s="10">
        <v>0.08</v>
      </c>
      <c r="M35" s="11">
        <v>95</v>
      </c>
      <c r="N35" s="11">
        <v>95</v>
      </c>
      <c r="O35" s="11">
        <f>1/(1+L35)</f>
        <v>0.92592592592592582</v>
      </c>
      <c r="V35" s="11">
        <f>SUM(V38:V42)</f>
        <v>77.288704765039739</v>
      </c>
      <c r="W35" s="11">
        <f>SUM(X38:X42) - (V35^2)</f>
        <v>88.866948368796329</v>
      </c>
      <c r="X35" s="11">
        <f>SUM(Z38:Z42)</f>
        <v>0</v>
      </c>
    </row>
    <row r="36" spans="2:27" ht="16.5" x14ac:dyDescent="0.25">
      <c r="AA36" s="5" t="s">
        <v>41</v>
      </c>
    </row>
    <row r="37" spans="2:27" ht="18" x14ac:dyDescent="0.35">
      <c r="J37" s="5" t="s">
        <v>1</v>
      </c>
      <c r="K37" s="5" t="s">
        <v>2</v>
      </c>
      <c r="L37" s="5" t="s">
        <v>4</v>
      </c>
      <c r="M37" s="5" t="s">
        <v>5</v>
      </c>
      <c r="N37" s="5" t="s">
        <v>42</v>
      </c>
      <c r="O37" s="6" t="s">
        <v>6</v>
      </c>
      <c r="P37" s="6" t="s">
        <v>7</v>
      </c>
      <c r="Q37" s="6" t="s">
        <v>8</v>
      </c>
      <c r="R37" s="6" t="s">
        <v>43</v>
      </c>
      <c r="S37" s="5" t="s">
        <v>44</v>
      </c>
      <c r="T37" s="5" t="s">
        <v>45</v>
      </c>
      <c r="U37" s="5" t="s">
        <v>46</v>
      </c>
      <c r="V37" s="5" t="s">
        <v>38</v>
      </c>
      <c r="W37" s="5" t="s">
        <v>47</v>
      </c>
      <c r="X37" s="5" t="s">
        <v>48</v>
      </c>
      <c r="Y37" s="5" t="s">
        <v>49</v>
      </c>
      <c r="Z37" s="5" t="s">
        <v>40</v>
      </c>
      <c r="AA37" s="6" t="s">
        <v>8</v>
      </c>
    </row>
    <row r="38" spans="2:27" x14ac:dyDescent="0.25">
      <c r="J38" s="4">
        <v>0</v>
      </c>
      <c r="K38" s="4">
        <v>95</v>
      </c>
      <c r="L38" s="4">
        <v>0.09</v>
      </c>
      <c r="M38" s="4">
        <f>1-L38</f>
        <v>0.91</v>
      </c>
      <c r="N38" s="4">
        <f>M38</f>
        <v>0.91</v>
      </c>
      <c r="O38" s="4">
        <v>1</v>
      </c>
      <c r="P38" s="4">
        <v>1</v>
      </c>
      <c r="Q38" s="4">
        <f>O38*P38</f>
        <v>1</v>
      </c>
      <c r="R38" s="4">
        <f>Q38-Q39</f>
        <v>0.17189999999999994</v>
      </c>
      <c r="S38" s="4">
        <f>$O$35^($J38+1)</f>
        <v>0.92592592592592582</v>
      </c>
      <c r="T38" s="4">
        <v>100</v>
      </c>
      <c r="U38" s="4">
        <f>T38*S38</f>
        <v>92.592592592592581</v>
      </c>
      <c r="V38" s="4">
        <f>U38*R38</f>
        <v>15.916666666666659</v>
      </c>
      <c r="W38" s="4">
        <f>U38^2</f>
        <v>8573.3882030178302</v>
      </c>
      <c r="X38" s="4">
        <f>W38*R38</f>
        <v>1473.7654320987644</v>
      </c>
      <c r="Y38" s="4">
        <f>U38-$V$35</f>
        <v>15.303887827552842</v>
      </c>
      <c r="Z38" s="4">
        <f>Y38*R38</f>
        <v>2.6307383175563328</v>
      </c>
      <c r="AA38" s="4">
        <f>($O$35^(J38)) *Q38</f>
        <v>1</v>
      </c>
    </row>
    <row r="39" spans="2:27" x14ac:dyDescent="0.25">
      <c r="J39" s="4">
        <v>1</v>
      </c>
      <c r="K39" s="4">
        <v>96</v>
      </c>
      <c r="L39" s="4">
        <v>0.1</v>
      </c>
      <c r="M39" s="4">
        <f>1-L39</f>
        <v>0.9</v>
      </c>
      <c r="N39" s="4">
        <f>M39</f>
        <v>0.9</v>
      </c>
      <c r="O39" s="4">
        <f t="shared" ref="O39:P42" si="0">O38*M38</f>
        <v>0.91</v>
      </c>
      <c r="P39" s="4">
        <f t="shared" si="0"/>
        <v>0.91</v>
      </c>
      <c r="Q39" s="4">
        <f>O39*P39</f>
        <v>0.82810000000000006</v>
      </c>
      <c r="R39" s="4">
        <f>Q39-Q40</f>
        <v>0.15733900000000001</v>
      </c>
      <c r="S39" s="4">
        <f>$O$35^($J39+1)</f>
        <v>0.8573388203017831</v>
      </c>
      <c r="T39" s="4">
        <f>+T38</f>
        <v>100</v>
      </c>
      <c r="U39" s="4">
        <f>T39*S39</f>
        <v>85.733882030178307</v>
      </c>
      <c r="V39" s="4">
        <f>U39*R39</f>
        <v>13.489283264746225</v>
      </c>
      <c r="W39" s="4">
        <f>U39^2</f>
        <v>7350.2985279645309</v>
      </c>
      <c r="X39" s="4">
        <f>W39*R39</f>
        <v>1156.4886200914113</v>
      </c>
      <c r="Y39" s="4">
        <f>U39-$V$35</f>
        <v>8.4451772651385681</v>
      </c>
      <c r="Z39" s="4">
        <f>Y39*R39</f>
        <v>1.3287557457196373</v>
      </c>
      <c r="AA39" s="4">
        <f>($O$35^(J39)) *Q39</f>
        <v>0.76675925925925925</v>
      </c>
    </row>
    <row r="40" spans="2:27" x14ac:dyDescent="0.25">
      <c r="J40" s="4">
        <v>2</v>
      </c>
      <c r="K40" s="4">
        <v>97</v>
      </c>
      <c r="L40" s="4">
        <v>0.11</v>
      </c>
      <c r="M40" s="4">
        <f>1-L40</f>
        <v>0.89</v>
      </c>
      <c r="N40" s="4">
        <f>M40</f>
        <v>0.89</v>
      </c>
      <c r="O40" s="4">
        <f t="shared" si="0"/>
        <v>0.81900000000000006</v>
      </c>
      <c r="P40" s="4">
        <f t="shared" si="0"/>
        <v>0.81900000000000006</v>
      </c>
      <c r="Q40" s="4">
        <f>O40*P40</f>
        <v>0.67076100000000005</v>
      </c>
      <c r="R40" s="4">
        <f>Q40-Q41</f>
        <v>0.13945121189999998</v>
      </c>
      <c r="S40" s="4">
        <f>$O$35^($J40+1)</f>
        <v>0.79383224102016947</v>
      </c>
      <c r="T40" s="4">
        <f>+T39</f>
        <v>100</v>
      </c>
      <c r="U40" s="4">
        <f>T40*S40</f>
        <v>79.383224102016953</v>
      </c>
      <c r="V40" s="4">
        <f>U40*R40</f>
        <v>11.070086805555553</v>
      </c>
      <c r="W40" s="4">
        <f>U40^2</f>
        <v>6301.696268831045</v>
      </c>
      <c r="X40" s="4">
        <f>W40*R40</f>
        <v>878.77918171419731</v>
      </c>
      <c r="Y40" s="4">
        <f>U40-$V$35</f>
        <v>2.0945193369772142</v>
      </c>
      <c r="Z40" s="4">
        <f>Y40*R40</f>
        <v>0.29208325988945694</v>
      </c>
      <c r="AA40" s="4">
        <f>($O$35^(J40)) *Q40</f>
        <v>0.57506944444444441</v>
      </c>
    </row>
    <row r="41" spans="2:27" x14ac:dyDescent="0.25">
      <c r="B41"/>
      <c r="C41"/>
      <c r="D41"/>
      <c r="E41"/>
      <c r="F41"/>
      <c r="G41"/>
      <c r="J41" s="4">
        <v>3</v>
      </c>
      <c r="K41" s="4">
        <v>98</v>
      </c>
      <c r="L41" s="4">
        <v>0.12</v>
      </c>
      <c r="M41" s="4">
        <f>1-L41</f>
        <v>0.88</v>
      </c>
      <c r="N41" s="4">
        <f>M41</f>
        <v>0.88</v>
      </c>
      <c r="O41" s="4">
        <f t="shared" si="0"/>
        <v>0.72891000000000006</v>
      </c>
      <c r="P41" s="4">
        <f t="shared" si="0"/>
        <v>0.72891000000000006</v>
      </c>
      <c r="Q41" s="4">
        <f>O41*P41</f>
        <v>0.53130978810000007</v>
      </c>
      <c r="R41" s="4">
        <f>Q41-Q42</f>
        <v>0.11986348819536002</v>
      </c>
      <c r="S41" s="4">
        <f>$O$35^($J41+1)</f>
        <v>0.73502985279645316</v>
      </c>
      <c r="T41" s="4">
        <f>+T40</f>
        <v>100</v>
      </c>
      <c r="U41" s="4">
        <f>T41*S41</f>
        <v>73.502985279645316</v>
      </c>
      <c r="V41" s="4">
        <f>U41*R41</f>
        <v>8.8103242083904885</v>
      </c>
      <c r="W41" s="4">
        <f>U41^2</f>
        <v>5402.6888450197557</v>
      </c>
      <c r="X41" s="4">
        <f>W41*R41</f>
        <v>647.58513059822872</v>
      </c>
      <c r="Y41" s="4">
        <f>U41-$V$35</f>
        <v>-3.7857194853944236</v>
      </c>
      <c r="Z41" s="4">
        <f>Y41*R41</f>
        <v>-0.45376954284851889</v>
      </c>
      <c r="AA41" s="4">
        <f>($O$35^(J41)) *Q41</f>
        <v>0.42177083976337443</v>
      </c>
    </row>
    <row r="42" spans="2:27" x14ac:dyDescent="0.25">
      <c r="B42"/>
      <c r="C42"/>
      <c r="D42"/>
      <c r="E42"/>
      <c r="F42"/>
      <c r="G42"/>
      <c r="J42" s="4">
        <v>4</v>
      </c>
      <c r="K42" s="4">
        <v>99</v>
      </c>
      <c r="L42" s="4">
        <v>1</v>
      </c>
      <c r="M42" s="4">
        <f>1-L42</f>
        <v>0</v>
      </c>
      <c r="N42" s="4">
        <f>M42</f>
        <v>0</v>
      </c>
      <c r="O42" s="4">
        <f t="shared" si="0"/>
        <v>0.64144080000000003</v>
      </c>
      <c r="P42" s="4">
        <f t="shared" si="0"/>
        <v>0.64144080000000003</v>
      </c>
      <c r="Q42" s="4">
        <f>O42*P42</f>
        <v>0.41144629990464004</v>
      </c>
      <c r="R42" s="4">
        <f>Q42-Q43</f>
        <v>0.41144629990464004</v>
      </c>
      <c r="S42" s="4">
        <f>$O$35^($J42+1)</f>
        <v>0.68058319703375281</v>
      </c>
      <c r="T42" s="4">
        <f>+T41</f>
        <v>100</v>
      </c>
      <c r="U42" s="4">
        <f>T42*S42</f>
        <v>68.058319703375275</v>
      </c>
      <c r="V42" s="4">
        <f>U42*R42</f>
        <v>28.002343819680817</v>
      </c>
      <c r="W42" s="4">
        <f>U42^2</f>
        <v>4631.9348808468394</v>
      </c>
      <c r="X42" s="4">
        <f>W42*R42</f>
        <v>1905.7924681236718</v>
      </c>
      <c r="Y42" s="4">
        <f>U42-$V$35</f>
        <v>-9.2303850616644638</v>
      </c>
      <c r="Z42" s="4">
        <f>Y42*R42</f>
        <v>-3.7978077803169064</v>
      </c>
      <c r="AA42" s="4">
        <f>($O$35^(J42)) *Q42</f>
        <v>0.3024253132525529</v>
      </c>
    </row>
    <row r="43" spans="2:27" x14ac:dyDescent="0.25">
      <c r="B43"/>
      <c r="C43"/>
      <c r="D43"/>
      <c r="E43"/>
      <c r="F43"/>
      <c r="G43"/>
      <c r="AA43" s="4">
        <f>+SUM(AA38:AA42)</f>
        <v>3.0660248567196309</v>
      </c>
    </row>
    <row r="44" spans="2:27" x14ac:dyDescent="0.25">
      <c r="B44"/>
      <c r="C44"/>
      <c r="D44"/>
      <c r="E44"/>
      <c r="F44"/>
      <c r="G44"/>
    </row>
    <row r="45" spans="2:27" x14ac:dyDescent="0.25">
      <c r="B45"/>
      <c r="C45"/>
      <c r="D45"/>
      <c r="E45"/>
      <c r="F45"/>
      <c r="G45"/>
    </row>
    <row r="46" spans="2:27" x14ac:dyDescent="0.25">
      <c r="B46"/>
      <c r="C46"/>
      <c r="D46"/>
      <c r="E46"/>
      <c r="F46"/>
      <c r="G46"/>
    </row>
    <row r="47" spans="2:27" ht="30" x14ac:dyDescent="0.25">
      <c r="B47"/>
      <c r="C47"/>
      <c r="D47"/>
      <c r="E47"/>
      <c r="F47"/>
      <c r="G47"/>
      <c r="J47" s="12" t="s">
        <v>50</v>
      </c>
      <c r="K47"/>
      <c r="L47"/>
      <c r="M47"/>
      <c r="N47"/>
      <c r="O47"/>
      <c r="P47"/>
      <c r="Q47"/>
      <c r="R47"/>
      <c r="S47"/>
      <c r="T47"/>
      <c r="U47"/>
      <c r="V47" s="12">
        <f>SUM(V49:V51)</f>
        <v>87.28120713305897</v>
      </c>
      <c r="W47" s="5" t="s">
        <v>41</v>
      </c>
    </row>
    <row r="48" spans="2:27" ht="18" x14ac:dyDescent="0.35">
      <c r="B48"/>
      <c r="C48"/>
      <c r="D48"/>
      <c r="E48" s="13" t="s">
        <v>51</v>
      </c>
      <c r="F48" s="14"/>
      <c r="G48" s="14"/>
      <c r="H48" s="8">
        <f>R41+R42</f>
        <v>0.53130978810000007</v>
      </c>
      <c r="J48" s="5" t="s">
        <v>1</v>
      </c>
      <c r="K48" s="5" t="s">
        <v>2</v>
      </c>
      <c r="L48" s="5" t="s">
        <v>3</v>
      </c>
      <c r="M48" s="5" t="s">
        <v>52</v>
      </c>
      <c r="N48" s="5" t="s">
        <v>53</v>
      </c>
      <c r="O48" s="5" t="s">
        <v>54</v>
      </c>
      <c r="P48" s="5" t="s">
        <v>55</v>
      </c>
      <c r="Q48" s="5" t="s">
        <v>56</v>
      </c>
      <c r="R48" s="5" t="s">
        <v>57</v>
      </c>
      <c r="S48" s="5" t="s">
        <v>45</v>
      </c>
      <c r="T48" s="5" t="s">
        <v>58</v>
      </c>
      <c r="U48" s="5" t="s">
        <v>46</v>
      </c>
      <c r="V48" s="5" t="s">
        <v>38</v>
      </c>
      <c r="W48" s="6" t="s">
        <v>8</v>
      </c>
    </row>
    <row r="49" spans="2:23" x14ac:dyDescent="0.25">
      <c r="B49"/>
      <c r="C49"/>
      <c r="D49"/>
      <c r="E49" s="13" t="s">
        <v>59</v>
      </c>
      <c r="F49" s="14"/>
      <c r="G49" s="14"/>
      <c r="H49" s="8">
        <f>R38+R39</f>
        <v>0.32923899999999995</v>
      </c>
      <c r="J49" s="12">
        <v>0</v>
      </c>
      <c r="K49" s="12">
        <v>98</v>
      </c>
      <c r="L49" s="12">
        <f>+K49</f>
        <v>98</v>
      </c>
      <c r="M49" s="12">
        <f>1-L41</f>
        <v>0.88</v>
      </c>
      <c r="N49" s="12">
        <f>1-L41</f>
        <v>0.88</v>
      </c>
      <c r="O49" s="12">
        <v>1</v>
      </c>
      <c r="P49" s="12">
        <v>1</v>
      </c>
      <c r="Q49" s="12">
        <f>+O49*P49</f>
        <v>1</v>
      </c>
      <c r="R49" s="12">
        <f>Q49-Q50</f>
        <v>0.22560000000000002</v>
      </c>
      <c r="S49" s="12">
        <v>100</v>
      </c>
      <c r="T49" s="12">
        <f>$O$35^ (J49+1)</f>
        <v>0.92592592592592582</v>
      </c>
      <c r="U49" s="12">
        <f>T49*S49</f>
        <v>92.592592592592581</v>
      </c>
      <c r="V49" s="12">
        <f>U49*R49</f>
        <v>20.888888888888889</v>
      </c>
      <c r="W49" s="4">
        <f>($O$35^(J49)) *Q49</f>
        <v>1</v>
      </c>
    </row>
    <row r="50" spans="2:23" x14ac:dyDescent="0.25">
      <c r="B50"/>
      <c r="C50"/>
      <c r="D50"/>
      <c r="E50" s="13" t="s">
        <v>60</v>
      </c>
      <c r="F50" s="14"/>
      <c r="G50" s="14"/>
      <c r="H50" s="8">
        <f>+R41</f>
        <v>0.11986348819536002</v>
      </c>
      <c r="J50" s="12">
        <v>1</v>
      </c>
      <c r="K50" s="12">
        <f>K49+1</f>
        <v>99</v>
      </c>
      <c r="L50" s="12">
        <f>+K50</f>
        <v>99</v>
      </c>
      <c r="M50" s="12">
        <f>1-L42</f>
        <v>0</v>
      </c>
      <c r="N50" s="12">
        <f>1-L42</f>
        <v>0</v>
      </c>
      <c r="O50" s="12">
        <f>O49*M49</f>
        <v>0.88</v>
      </c>
      <c r="P50" s="12">
        <f>P49*N49</f>
        <v>0.88</v>
      </c>
      <c r="Q50" s="12">
        <f>+O50*P50</f>
        <v>0.77439999999999998</v>
      </c>
      <c r="R50" s="12">
        <f>Q50-Q51</f>
        <v>0.77439999999999998</v>
      </c>
      <c r="S50" s="12">
        <v>100</v>
      </c>
      <c r="T50" s="12">
        <f>$O$35^ (J50+1)</f>
        <v>0.8573388203017831</v>
      </c>
      <c r="U50" s="12">
        <f>T50*S50</f>
        <v>85.733882030178307</v>
      </c>
      <c r="V50" s="12">
        <f>U50*R50</f>
        <v>66.392318244170085</v>
      </c>
      <c r="W50" s="4">
        <f>($O$35^(J50)) *Q50</f>
        <v>0.71703703703703692</v>
      </c>
    </row>
    <row r="51" spans="2:23" ht="32.25" customHeight="1" x14ac:dyDescent="0.25">
      <c r="E51" s="2" t="s">
        <v>61</v>
      </c>
      <c r="F51" s="2"/>
      <c r="G51" s="2"/>
      <c r="H51" s="8">
        <f>+V35/AA43</f>
        <v>25.208114212006638</v>
      </c>
      <c r="J51" s="12">
        <v>2</v>
      </c>
      <c r="K51" s="12">
        <f>K50+1</f>
        <v>100</v>
      </c>
      <c r="L51" s="12">
        <f>+K51</f>
        <v>100</v>
      </c>
      <c r="M51" s="12">
        <v>0</v>
      </c>
      <c r="N51" s="12">
        <v>0</v>
      </c>
      <c r="O51" s="12">
        <f>O50*M50</f>
        <v>0</v>
      </c>
      <c r="P51" s="12">
        <f>P50*N50</f>
        <v>0</v>
      </c>
      <c r="Q51" s="12">
        <f>+O51*P51</f>
        <v>0</v>
      </c>
      <c r="R51" s="12">
        <f>Q51-Q52</f>
        <v>0</v>
      </c>
      <c r="S51" s="12">
        <v>100</v>
      </c>
      <c r="T51" s="12">
        <f>$O$35^ (J51+1)</f>
        <v>0.79383224102016947</v>
      </c>
      <c r="U51" s="12">
        <f>T51*S51</f>
        <v>79.383224102016953</v>
      </c>
      <c r="V51" s="12">
        <f>U51*R51</f>
        <v>0</v>
      </c>
      <c r="W51" s="4">
        <f>($O$35^(J51)) *Q51</f>
        <v>0</v>
      </c>
    </row>
    <row r="52" spans="2:23" x14ac:dyDescent="0.25">
      <c r="E52" s="13" t="s">
        <v>62</v>
      </c>
      <c r="F52" s="14"/>
      <c r="G52" s="14"/>
      <c r="H52" s="8">
        <f>V47</f>
        <v>87.28120713305897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4">
        <f>SUM(W49:W51)</f>
        <v>1.7170370370370369</v>
      </c>
    </row>
    <row r="53" spans="2:23" ht="31.15" customHeight="1" x14ac:dyDescent="0.25">
      <c r="E53" s="2" t="s">
        <v>63</v>
      </c>
      <c r="F53" s="2"/>
      <c r="G53" s="2"/>
      <c r="H53" s="8">
        <f>H52-(H51*W52)</f>
        <v>43.997941397183872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6" spans="2:23" x14ac:dyDescent="0.25">
      <c r="F56" s="1"/>
      <c r="G56" s="1"/>
      <c r="H56" s="1"/>
      <c r="I56" s="1"/>
      <c r="J56" s="1"/>
    </row>
    <row r="57" spans="2:23" x14ac:dyDescent="0.25">
      <c r="F57" s="3"/>
      <c r="G57" s="3"/>
      <c r="H57" s="3"/>
    </row>
    <row r="60" spans="2:23" ht="19.5" x14ac:dyDescent="0.3">
      <c r="J60" s="15" t="s">
        <v>68</v>
      </c>
    </row>
    <row r="61" spans="2:23" x14ac:dyDescent="0.25">
      <c r="J61" s="16" t="s">
        <v>69</v>
      </c>
      <c r="K61" s="16"/>
      <c r="L61" s="16"/>
      <c r="M61" s="16"/>
      <c r="N61" s="16"/>
      <c r="O61" s="16"/>
      <c r="P61" s="16"/>
    </row>
    <row r="62" spans="2:23" x14ac:dyDescent="0.25">
      <c r="J62" s="17"/>
      <c r="K62" s="17"/>
      <c r="L62" s="17"/>
    </row>
    <row r="63" spans="2:23" x14ac:dyDescent="0.25">
      <c r="J63" s="17"/>
      <c r="K63" s="17"/>
      <c r="L63" s="17"/>
    </row>
    <row r="65" spans="5:17" x14ac:dyDescent="0.25">
      <c r="K65" s="4" t="s">
        <v>70</v>
      </c>
      <c r="M65" s="4" t="s">
        <v>71</v>
      </c>
    </row>
    <row r="66" spans="5:17" x14ac:dyDescent="0.25">
      <c r="K66" s="3" t="s">
        <v>72</v>
      </c>
      <c r="L66" s="3"/>
      <c r="M66" s="3"/>
      <c r="N66" s="3"/>
      <c r="O66" s="3"/>
      <c r="P66" s="3"/>
      <c r="Q66" s="3"/>
    </row>
    <row r="68" spans="5:17" ht="30.95" customHeight="1" x14ac:dyDescent="0.25">
      <c r="E68" s="2" t="s">
        <v>64</v>
      </c>
      <c r="F68" s="2"/>
      <c r="G68" s="2"/>
      <c r="H68" s="8">
        <f>U40</f>
        <v>79.383224102016953</v>
      </c>
    </row>
    <row r="69" spans="5:17" ht="30.95" customHeight="1" x14ac:dyDescent="0.25">
      <c r="E69" s="2" t="s">
        <v>65</v>
      </c>
      <c r="F69" s="2"/>
      <c r="G69" s="2"/>
      <c r="H69" s="8">
        <f>Y39</f>
        <v>8.4451772651385681</v>
      </c>
    </row>
    <row r="70" spans="5:17" x14ac:dyDescent="0.25">
      <c r="E70" s="13" t="s">
        <v>66</v>
      </c>
      <c r="F70" s="14"/>
      <c r="G70" s="14"/>
      <c r="H70" s="8">
        <f>R38+R39+R40</f>
        <v>0.46869021189999993</v>
      </c>
      <c r="K70" s="3" t="s">
        <v>73</v>
      </c>
      <c r="L70" s="3"/>
      <c r="M70" s="3"/>
      <c r="N70" s="3"/>
      <c r="O70" s="3"/>
      <c r="P70" s="3"/>
    </row>
    <row r="71" spans="5:17" ht="45.95" customHeight="1" x14ac:dyDescent="0.25">
      <c r="E71" s="2" t="s">
        <v>67</v>
      </c>
      <c r="F71" s="2"/>
      <c r="G71" s="2"/>
      <c r="H71" s="8">
        <f>L71</f>
        <v>0.3872770176439711</v>
      </c>
      <c r="K71" s="18" t="s">
        <v>74</v>
      </c>
      <c r="L71" s="18">
        <f>O41^3</f>
        <v>0.3872770176439711</v>
      </c>
    </row>
  </sheetData>
  <mergeCells count="11">
    <mergeCell ref="E68:G68"/>
    <mergeCell ref="E69:G69"/>
    <mergeCell ref="E71:G71"/>
    <mergeCell ref="J61:P61"/>
    <mergeCell ref="K66:Q66"/>
    <mergeCell ref="K70:P70"/>
    <mergeCell ref="A1:C1"/>
    <mergeCell ref="E51:G51"/>
    <mergeCell ref="E53:G53"/>
    <mergeCell ref="F56:J56"/>
    <mergeCell ref="F57:H57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DE JESUS SAYNES</dc:creator>
  <dc:description/>
  <cp:lastModifiedBy>Mauricio Silva Lopez</cp:lastModifiedBy>
  <cp:revision>1</cp:revision>
  <dcterms:created xsi:type="dcterms:W3CDTF">2026-01-30T23:35:16Z</dcterms:created>
  <dcterms:modified xsi:type="dcterms:W3CDTF">2026-02-27T03:03:21Z</dcterms:modified>
  <dc:language>es-ES</dc:language>
</cp:coreProperties>
</file>